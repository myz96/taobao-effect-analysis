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2cb46166f044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d86c8feb7b433b"/>
    <x:sheet xmlns:r="http://schemas.openxmlformats.org/officeDocument/2006/relationships" name="Monthly build" sheetId="2" r:id="R6f267bdea76c47d4"/>
    <x:sheet xmlns:r="http://schemas.openxmlformats.org/officeDocument/2006/relationships" name="Prices and assumptions" sheetId="3" r:id="Ra6688868d51a4b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;(#,##0.00);&quot;–&quot;"/>
    <x:numFmt numFmtId="201" formatCode="0.00%"/>
    <x:numFmt numFmtId="202" formatCode="0.00&quot;×&quot;"/>
    <x:numFmt numFmtId="203" formatCode="0.0000"/>
    <x:numFmt numFmtId="204" formatCode="0.0%"/>
    <x:numFmt numFmtId="205" formatCode="General"/>
    <x:numFmt numFmtId="206" formatCode="+0.00&quot;×&quot;;-0.00&quot;×&quot;;&quot;–&quot;"/>
  </x:numFmts>
  <x:fonts count="8">
    <x:font>
      <x:sz val="11"/>
      <x:name val="Carlito"/>
    </x:font>
    <x:font>
      <x:sz val="11"/>
      <x:color rgb="FF202B35"/>
      <x:name val="Arial"/>
    </x:font>
    <x:font>
      <x:b/>
      <x:sz val="16"/>
      <x:color rgb="FF20364A"/>
      <x:name val="Arial"/>
    </x:font>
    <x:font>
      <x:sz val="11"/>
      <x:color rgb="FF1951A0"/>
      <x:name val="Arial"/>
    </x:font>
    <x:font>
      <x:b/>
      <x:sz val="11"/>
      <x:color rgb="FFFFFFFF"/>
      <x:name val="Arial"/>
    </x:font>
    <x:font>
      <x:sz val="11"/>
      <x:color rgb="FF21734A"/>
      <x:name val="Arial"/>
    </x:font>
    <x:font>
      <x:b/>
      <x:sz val="11"/>
      <x:color rgb="FF202B35"/>
      <x:name val="Arial"/>
    </x:font>
    <x:font>
      <x:b/>
      <x:sz val="11"/>
      <x:color rgb="FF21734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4CF"/>
      </x:patternFill>
    </x:fill>
    <x:fill>
      <x:patternFill patternType="solid">
        <x:fgColor rgb="FF20364A"/>
      </x:patternFill>
    </x:fill>
    <x:fill>
      <x:patternFill patternType="solid">
        <x:fgColor rgb="FFEDF2F6"/>
      </x:patternFill>
    </x:fill>
  </x:fills>
  <x:borders count="1">
    <x:border/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200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horizontal="center" vertical="center" wrapText="1"/>
    </x:xf>
    <x:xf numFmtId="202" fontId="6" fillId="4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vertical="center"/>
    </x:xf>
    <x:xf numFmtId="200" fontId="7" fillId="3" borderId="0" xfId="0" applyNumberFormat="1" applyFont="1" applyFill="1" applyBorder="1" applyAlignment="1">
      <x:alignment horizontal="center" vertical="center" wrapText="1"/>
    </x:xf>
    <x:xf numFmtId="202" fontId="4" fillId="3" borderId="0" xfId="0" applyNumberFormat="1" applyFont="1" applyFill="1" applyBorder="1" applyAlignment="1">
      <x:alignment horizontal="center" vertical="center" wrapText="1"/>
    </x:xf>
    <x:xf numFmtId="205" fontId="1" fillId="0" borderId="0" xfId="0" applyNumberFormat="1" applyFont="1" applyFill="1" applyBorder="1" applyAlignment="1">
      <x:alignment vertical="center"/>
    </x:xf>
    <x:xf numFmtId="204" fontId="6" fillId="4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3f99da8d0d4d24" /><Relationship Type="http://schemas.openxmlformats.org/officeDocument/2006/relationships/theme" Target="/xl/theme/theme1.xml" Id="R3bc798bf331a4c60" /><Relationship Type="http://schemas.openxmlformats.org/officeDocument/2006/relationships/sharedStrings" Target="/xl/sharedStrings.xml" Id="Rc20019fb79e641b9" /><Relationship Type="http://schemas.openxmlformats.org/officeDocument/2006/relationships/worksheet" Target="/xl/worksheets/sheet1.xml" Id="R94d86c8feb7b433b" /><Relationship Type="http://schemas.openxmlformats.org/officeDocument/2006/relationships/worksheet" Target="/xl/worksheets/sheet2.xml" Id="R6f267bdea76c47d4" /><Relationship Type="http://schemas.openxmlformats.org/officeDocument/2006/relationships/worksheet" Target="/xl/worksheets/sheet3.xml" Id="Ra6688868d51a4b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64A"/>
  </x:sheetPr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3" customHeight="1">
      <x:c r="A2" s="3" t="str">
        <x:v>China and US local-life budgets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3" customHeight="1">
      <x:c r="A4" s="2" t="str">
        <x:v>Case selected</x:v>
      </x:c>
      <x:c r="B4" s="17" t="str">
        <x:f>'Monthly build'!B4</x:f>
        <x:v>Entry renter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3" customHeight="1">
      <x:c r="A5" s="2" t="str">
        <x:v>One adult; change the case and stress selectors on Prices and assumptions.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30" customHeight="1">
      <x:c r="A7" s="9" t="str">
        <x:v>Monthly budget</x:v>
      </x:c>
      <x:c r="B7" s="9" t="str">
        <x:v>China RMB</x:v>
      </x:c>
      <x:c r="C7" s="9" t="str">
        <x:v>US USD</x:v>
      </x:c>
      <x:c r="D7" s="9" t="str">
        <x:v>US / China at FX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3" customHeight="1">
      <x:c r="A8" s="31" t="str">
        <x:v>Covered categories</x:v>
      </x:c>
      <x:c r="B8" s="32" t="n">
        <x:f>'Monthly build'!C33</x:f>
        <x:v>3778.1333333333328</x:v>
      </x:c>
      <x:c r="C8" s="32" t="n">
        <x:f>'Monthly build'!D33</x:f>
        <x:v>2004.719401825397</x:v>
      </x:c>
      <x:c r="D8" s="33" t="n">
        <x:f>'Monthly build'!F33</x:f>
        <x:v>3.7901018709323733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3" customHeight="1">
      <x:c r="A9" s="31" t="str">
        <x:v>With routine allowance</x:v>
      </x:c>
      <x:c r="B9" s="32" t="n">
        <x:f>'Monthly build'!C35</x:f>
        <x:v>4178.133333333333</x:v>
      </x:c>
      <x:c r="C9" s="32" t="n">
        <x:f>'Monthly build'!D35</x:f>
        <x:v>2254.7194018253967</x:v>
      </x:c>
      <x:c r="D9" s="33" t="n">
        <x:f>'Monthly build'!F35</x:f>
        <x:v>3.8546484591121937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3" customHeight="1">
      <x:c r="A10" s="2"/>
      <x:c r="B10" s="14"/>
      <x:c r="C10" s="14"/>
      <x:c r="D10" s="15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3" customHeight="1">
      <x:c r="A11" s="2"/>
      <x:c r="B11" s="14"/>
      <x:c r="C11" s="14"/>
      <x:c r="D11" s="15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30" customHeight="1">
      <x:c r="A12" s="9" t="str">
        <x:v>All22 catalogue statistics</x:v>
      </x:c>
      <x:c r="B12" s="21" t="str">
        <x:v>Result</x:v>
      </x:c>
      <x:c r="C12" s="14"/>
      <x:c r="D12" s="15" t="str">
        <x:v>Meaning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3" customHeight="1">
      <x:c r="A13" s="2" t="str">
        <x:v>Arithmetic mean</x:v>
      </x:c>
      <x:c r="B13" s="15" t="n">
        <x:f>AVERAGE('Prices and assumptions'!F16:F37)</x:f>
        <x:v>3.782495695759681</x:v>
      </x:c>
      <x:c r="C13" s="14"/>
      <x:c r="D13" s="28" t="str">
        <x:v>Equal category votes; includes alternative phone/laptop tiers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3" customHeight="1">
      <x:c r="A14" s="2" t="str">
        <x:v>Geometric mean</x:v>
      </x:c>
      <x:c r="B14" s="15" t="n">
        <x:f>PRODUCT('Prices and assumptions'!F16:F37)^(1/22)</x:f>
        <x:v>2.2632089920934426</x:v>
      </x:c>
      <x:c r="C14" s="14"/>
      <x:c r="D14" s="28" t="str">
        <x:v>Direction-symmetric descriptive mean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23" customHeight="1">
      <x:c r="A15" s="2" t="str">
        <x:v>Median multiple</x:v>
      </x:c>
      <x:c r="B15" s="15" t="n">
        <x:f>MEDIAN('Prices and assumptions'!F16:F37)</x:f>
        <x:v>1.7686351658626454</x:v>
      </x:c>
      <x:c r="C15" s="14"/>
      <x:c r="D15" s="28" t="str">
        <x:v>Middle row ratio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3" customHeight="1">
      <x:c r="A16" s="2" t="str">
        <x:v>Arithmetic excl healthcare</x:v>
      </x:c>
      <x:c r="B16" s="15" t="n">
        <x:f>(SUM('Prices and assumptions'!F16:F37)-SUM('Prices and assumptions'!F23:F24))/20</x:f>
        <x:v>2.1318577121441593</x:v>
      </x:c>
      <x:c r="C16" s="14"/>
      <x:c r="D16" s="28" t="str">
        <x:v>Excludes insurance and partial medical basket by service scope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23" customHeight="1">
      <x:c r="A17" s="2" t="str">
        <x:v>Geometric excl healthcare</x:v>
      </x:c>
      <x:c r="B17" s="15" t="n">
        <x:f>(PRODUCT('Prices and assumptions'!F16:F37)/PRODUCT('Prices and assumptions'!F23:F24))^(1/20)</x:f>
        <x:v>1.8676411224071858</x:v>
      </x:c>
      <x:c r="C17" s="14"/>
      <x:c r="D17" s="28" t="str">
        <x:v>Same scope exclusion; not a preferred national estimate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3" customHeight="1">
      <x:c r="A18" s="2"/>
      <x:c r="B18" s="14"/>
      <x:c r="C18" s="14"/>
      <x:c r="D18" s="15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3" customHeight="1">
      <x:c r="A19" s="2"/>
      <x:c r="B19" s="14"/>
      <x:c r="C19" s="14"/>
      <x:c r="D19" s="15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30" customHeight="1">
      <x:c r="A20" s="9" t="str">
        <x:v>Budget weights by function</x:v>
      </x:c>
      <x:c r="B20" s="21" t="str">
        <x:v>China RMB / mo</x:v>
      </x:c>
      <x:c r="C20" s="21" t="str">
        <x:v>US USD / mo</x:v>
      </x:c>
      <x:c r="D20" s="27" t="str">
        <x:v>US / China</x:v>
      </x:c>
      <x:c r="E20" s="9" t="str">
        <x:v>China weight</x:v>
      </x:c>
      <x:c r="F20" s="9" t="str">
        <x:v>US weight</x:v>
      </x:c>
      <x:c r="G20" s="9" t="str">
        <x:v>Weighted contribution</x:v>
      </x:c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3" customHeight="1">
      <x:c r="A21" s="2" t="str">
        <x:v>Housing and household setup</x:v>
      </x:c>
      <x:c r="B21" s="14" t="n">
        <x:f>'Monthly build'!C8+'Monthly build'!C9+'Monthly build'!C22+'Monthly build'!C23+'Monthly build'!C24+'Monthly build'!C25</x:f>
        <x:v>2200</x:v>
      </x:c>
      <x:c r="C21" s="14" t="n">
        <x:f>'Monthly build'!D8+'Monthly build'!D9+'Monthly build'!D22+'Monthly build'!D23+'Monthly build'!D24+'Monthly build'!D25</x:f>
        <x:v>1236.4047794642856</x:v>
      </x:c>
      <x:c r="D21" s="15" t="n">
        <x:f>IF(B21=0,"n.a.",C21/(B21/'Prices and assumptions'!$B$6))</x:f>
        <x:v>4.0143253178342935</x:v>
      </x:c>
      <x:c r="E21" s="23" t="n">
        <x:f>B21/$B$9</x:f>
        <x:v>0.5265509318355884</x:v>
      </x:c>
      <x:c r="F21" s="23" t="n">
        <x:f>C21/$C$9</x:f>
        <x:v>0.5483630373089021</x:v>
      </x:c>
      <x:c r="G21" s="15" t="n">
        <x:f>IF(B21=0,0,D21*E21)</x:f>
        <x:v>2.113746736796842</x:v>
      </x:c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3" customHeight="1">
      <x:c r="A22" s="2" t="str">
        <x:v>Car incl running</x:v>
      </x:c>
      <x:c r="B22" s="14" t="n">
        <x:f>'Monthly build'!C10+'Monthly build'!C30</x:f>
        <x:v>0</x:v>
      </x:c>
      <x:c r="C22" s="14" t="n">
        <x:f>'Monthly build'!D10+'Monthly build'!D30</x:f>
        <x:v>0</x:v>
      </x:c>
      <x:c r="D22" s="15" t="str">
        <x:f>IF(B22=0,"n.a.",C22/(B22/'Prices and assumptions'!$B$6))</x:f>
        <x:v>n.a.</x:v>
      </x:c>
      <x:c r="E22" s="23" t="n">
        <x:f>B22/$B$9</x:f>
        <x:v>0</x:v>
      </x:c>
      <x:c r="F22" s="23" t="n">
        <x:f>C22/$C$9</x:f>
        <x:v>0</x:v>
      </x:c>
      <x:c r="G22" s="15" t="n">
        <x:f>IF(B22=0,0,D22*E22)</x:f>
        <x:v>0</x:v>
      </x:c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3" customHeight="1">
      <x:c r="A23" s="2" t="str">
        <x:v>Gym</x:v>
      </x:c>
      <x:c r="B23" s="14" t="n">
        <x:f>'Monthly build'!C11</x:f>
        <x:v>239</x:v>
      </x:c>
      <x:c r="C23" s="14" t="n">
        <x:f>'Monthly build'!D11</x:f>
        <x:v>20.657708333333336</x:v>
      </x:c>
      <x:c r="D23" s="15" t="n">
        <x:f>IF(B23=0,"n.a.",C23/(B23/'Prices and assumptions'!$B$6))</x:f>
        <x:v>0.6173888906032079</x:v>
      </x:c>
      <x:c r="E23" s="23" t="n">
        <x:f>B23/$B$9</x:f>
        <x:v>0.05720257850395711</x:v>
      </x:c>
      <x:c r="F23" s="23" t="n">
        <x:f>C23/$C$9</x:f>
        <x:v>0.009161986328147563</x:v>
      </x:c>
      <x:c r="G23" s="15" t="n">
        <x:f>IF(B23=0,0,D23*E23)</x:f>
        <x:v>0.03531623648220099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3" customHeight="1">
      <x:c r="A24" s="2" t="str">
        <x:v>Transit and taxis</x:v>
      </x:c>
      <x:c r="B24" s="14" t="n">
        <x:f>'Monthly build'!C12</x:f>
        <x:v>245</x:v>
      </x:c>
      <x:c r="C24" s="14" t="n">
        <x:f>'Monthly build'!D12</x:f>
        <x:v>125</x:v>
      </x:c>
      <x:c r="D24" s="15" t="n">
        <x:f>IF(B24=0,"n.a.",C24/(B24/'Prices and assumptions'!$B$6))</x:f>
        <x:v>3.6443367346938778</x:v>
      </x:c>
      <x:c r="E24" s="23" t="n">
        <x:f>B24/$B$9</x:f>
        <x:v>0.05863862649987235</x:v>
      </x:c>
      <x:c r="F24" s="23" t="n">
        <x:f>C24/$C$9</x:f>
        <x:v>0.05543927102361444</x:v>
      </x:c>
      <x:c r="G24" s="15" t="n">
        <x:f>IF(B24=0,0,D24*E24)</x:f>
        <x:v>0.2136989006254787</x:v>
      </x:c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3" customHeight="1">
      <x:c r="A25" s="2" t="str">
        <x:v>Groceries</x:v>
      </x:c>
      <x:c r="B25" s="14" t="n">
        <x:f>'Monthly build'!C13</x:f>
        <x:v>590</x:v>
      </x:c>
      <x:c r="C25" s="14" t="n">
        <x:f>'Monthly build'!D13</x:f>
        <x:v>364</x:v>
      </x:c>
      <x:c r="D25" s="15" t="n">
        <x:f>IF(B25=0,"n.a.",C25/(B25/'Prices and assumptions'!$B$6))</x:f>
        <x:v>4.406806101694915</x:v>
      </x:c>
      <x:c r="E25" s="23" t="n">
        <x:f>B25/$B$9</x:f>
        <x:v>0.14121138626499874</x:v>
      </x:c>
      <x:c r="F25" s="23" t="n">
        <x:f>C25/$C$9</x:f>
        <x:v>0.16143915722076524</x:v>
      </x:c>
      <x:c r="G25" s="15" t="n">
        <x:f>IF(B25=0,0,D25*E25)</x:f>
        <x:v>0.6222911986213939</x:v>
      </x:c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3" customHeight="1">
      <x:c r="A26" s="2" t="str">
        <x:v>Prepared meals</x:v>
      </x:c>
      <x:c r="B26" s="14" t="n">
        <x:f>'Monthly build'!C14</x:f>
        <x:v>180</x:v>
      </x:c>
      <x:c r="C26" s="14" t="n">
        <x:f>'Monthly build'!D14</x:f>
        <x:v>86.48</x:v>
      </x:c>
      <x:c r="D26" s="15" t="n">
        <x:f>IF(B26=0,"n.a.",C26/(B26/'Prices and assumptions'!$B$6))</x:f>
        <x:v>3.4317666222222223</x:v>
      </x:c>
      <x:c r="E26" s="23" t="n">
        <x:f>B26/$B$9</x:f>
        <x:v>0.04308143987745724</x:v>
      </x:c>
      <x:c r="F26" s="23" t="n">
        <x:f>C26/$C$9</x:f>
        <x:v>0.038355105264977415</x:v>
      </x:c>
      <x:c r="G26" s="15" t="n">
        <x:f>IF(B26=0,0,D26*E26)</x:f>
        <x:v>0.14784544740873118</x:v>
      </x:c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3" customHeight="1">
      <x:c r="A27" s="2" t="str">
        <x:v>Employee health premium</x:v>
      </x:c>
      <x:c r="B27" s="14" t="n">
        <x:f>'Monthly build'!C15</x:f>
        <x:v>120</x:v>
      </x:c>
      <x:c r="C27" s="14" t="n">
        <x:f>'Monthly build'!D15</x:f>
        <x:v>120</x:v>
      </x:c>
      <x:c r="D27" s="15" t="n">
        <x:f>IF(B27=0,"n.a.",C27/(B27/'Prices and assumptions'!$B$6))</x:f>
        <x:v>7.142900000000001</x:v>
      </x:c>
      <x:c r="E27" s="23" t="n">
        <x:f>B27/$B$9</x:f>
        <x:v>0.028720959918304825</x:v>
      </x:c>
      <x:c r="F27" s="23" t="n">
        <x:f>C27/$C$9</x:f>
        <x:v>0.05322170018266986</x:v>
      </x:c>
      <x:c r="G27" s="15" t="n">
        <x:f>IF(B27=0,0,D27*E27)</x:f>
        <x:v>0.20515094460045957</x:v>
      </x:c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3" customHeight="1">
      <x:c r="A28" s="2" t="str">
        <x:v>Routine medical basket</x:v>
      </x:c>
      <x:c r="B28" s="14" t="n">
        <x:f>'Monthly build'!C16</x:f>
        <x:v>3.9166666666666665</x:v>
      </x:c>
      <x:c r="C28" s="14" t="n">
        <x:f>'Monthly build'!D16</x:f>
        <x:v>18.333333333333332</x:v>
      </x:c>
      <x:c r="D28" s="15" t="n">
        <x:f>IF(B28=0,"n.a.",C28/(B28/'Prices and assumptions'!$B$6))</x:f>
        <x:v>33.43485106382978</x:v>
      </x:c>
      <x:c r="E28" s="23" t="n">
        <x:f>B28/$B$9</x:f>
        <x:v>0.0009374202195557825</x:v>
      </x:c>
      <x:c r="F28" s="23" t="n">
        <x:f>C28/$C$9</x:f>
        <x:v>0.00813109308346345</x:v>
      </x:c>
      <x:c r="G28" s="15" t="n">
        <x:f>IF(B28=0,0,D28*E28)</x:f>
        <x:v>0.0313425054250702</x:v>
      </x:c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3" customHeight="1">
      <x:c r="A29" s="2" t="str">
        <x:v>Phone</x:v>
      </x:c>
      <x:c r="B29" s="14" t="n">
        <x:f>'Monthly build'!C17+'Monthly build'!C18</x:f>
        <x:v>27.75</x:v>
      </x:c>
      <x:c r="C29" s="14" t="n">
        <x:f>'Monthly build'!D17+'Monthly build'!D18</x:f>
        <x:v>6.013588194444444</x:v>
      </x:c>
      <x:c r="D29" s="15" t="n">
        <x:f>IF(B29=0,"n.a.",C29/(B29/'Prices and assumptions'!$B$6))</x:f>
        <x:v>1.547908436544044</x:v>
      </x:c>
      <x:c r="E29" s="23" t="n">
        <x:f>B29/$B$9</x:f>
        <x:v>0.006641721981107991</x:v>
      </x:c>
      <x:c r="F29" s="23" t="n">
        <x:f>C29/$C$9</x:f>
        <x:v>0.00266711156588971</x:v>
      </x:c>
      <x:c r="G29" s="15" t="n">
        <x:f>IF(B29=0,0,D29*E29)</x:f>
        <x:v>0.010280777487737081</x:v>
      </x:c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3" customHeight="1">
      <x:c r="A30" s="2" t="str">
        <x:v>Laptop</x:v>
      </x:c>
      <x:c r="B30" s="14" t="n">
        <x:f>'Monthly build'!C19+'Monthly build'!C20</x:f>
        <x:v>63.31666666666667</x:v>
      </x:c>
      <x:c r="C30" s="14" t="n">
        <x:f>'Monthly build'!D19+'Monthly build'!D20</x:f>
        <x:v>12.62898625</x:v>
      </x:c>
      <x:c r="D30" s="15" t="n">
        <x:f>IF(B30=0,"n.a.",C30/(B30/'Prices and assumptions'!$B$6))</x:f>
        <x:v>1.4247052258772046</x:v>
      </x:c>
      <x:c r="E30" s="23" t="n">
        <x:f>B30/$B$9</x:f>
        <x:v>0.015154295379116672</x:v>
      </x:c>
      <x:c r="F30" s="23" t="n">
        <x:f>C30/$C$9</x:f>
        <x:v>0.0056011343317380015</x:v>
      </x:c>
      <x:c r="G30" s="15" t="n">
        <x:f>IF(B30=0,0,D30*E30)</x:f>
        <x:v>0.021590403821114296</x:v>
      </x:c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3" customHeight="1">
      <x:c r="A31" s="2" t="str">
        <x:v>TV</x:v>
      </x:c>
      <x:c r="B31" s="14" t="n">
        <x:f>'Monthly build'!C21</x:f>
        <x:v>21.416666666666668</x:v>
      </x:c>
      <x:c r="C31" s="14" t="n">
        <x:f>'Monthly build'!D21</x:f>
        <x:v>2.577252083333333</x:v>
      </x:c>
      <x:c r="D31" s="15" t="n">
        <x:f>IF(B31=0,"n.a.",C31/(B31/'Prices and assumptions'!$B$6))</x:f>
        <x:v>0.8595667193482489</x:v>
      </x:c>
      <x:c r="E31" s="23" t="n">
        <x:f>B31/$B$9</x:f>
        <x:v>0.005125893540975236</x:v>
      </x:c>
      <x:c r="F31" s="23" t="n">
        <x:f>C31/$C$9</x:f>
        <x:v>0.0011430478139527328</x:v>
      </x:c>
      <x:c r="G31" s="15" t="n">
        <x:f>IF(B31=0,0,D31*E31)</x:f>
        <x:v>0.004406047494744463</x:v>
      </x:c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3" customHeight="1">
      <x:c r="A32" s="2" t="str">
        <x:v>Clothing</x:v>
      </x:c>
      <x:c r="B32" s="14" t="n">
        <x:f>'Monthly build'!C26</x:f>
        <x:v>54.48333333333333</x:v>
      </x:c>
      <x:c r="C32" s="14" t="n">
        <x:f>'Monthly build'!D26</x:f>
        <x:v>6.4895875</x:v>
      </x:c>
      <x:c r="D32" s="15" t="n">
        <x:f>IF(B32=0,"n.a.",C32/(B32/'Prices and assumptions'!$B$6))</x:f>
        <x:v>0.8508010012924442</x:v>
      </x:c>
      <x:c r="E32" s="23" t="n">
        <x:f>B32/$B$9</x:f>
        <x:v>0.013040113607352565</x:v>
      </x:c>
      <x:c r="F32" s="23" t="n">
        <x:f>C32/$C$9</x:f>
        <x:v>0.0028782240019516836</x:v>
      </x:c>
      <x:c r="G32" s="15" t="n">
        <x:f>IF(B32=0,0,D32*E32)</x:f>
        <x:v>0.011094541714102788</x:v>
      </x:c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3" customHeight="1">
      <x:c r="A33" s="2" t="str">
        <x:v>Running shoes</x:v>
      </x:c>
      <x:c r="B33" s="14" t="n">
        <x:f>'Monthly build'!C27</x:f>
        <x:v>33.25</x:v>
      </x:c>
      <x:c r="C33" s="14" t="n">
        <x:f>'Monthly build'!D27</x:f>
        <x:v>6.134166666666666</x:v>
      </x:c>
      <x:c r="D33" s="15" t="n">
        <x:f>IF(B33=0,"n.a.",C33/(B33/'Prices and assumptions'!$B$6))</x:f>
        <x:v>1.317766588972431</x:v>
      </x:c>
      <x:c r="E33" s="23" t="n">
        <x:f>B33/$B$9</x:f>
        <x:v>0.007958099310696963</x:v>
      </x:c>
      <x:c r="F33" s="23" t="n">
        <x:f>C33/$C$9</x:f>
        <x:v>0.002720589826698839</x:v>
      </x:c>
      <x:c r="G33" s="15" t="n">
        <x:f>IF(B33=0,0,D33*E33)</x:f>
        <x:v>0.01048691738336099</x:v>
      </x:c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3" customHeight="1">
      <x:c r="A34" s="2" t="str">
        <x:v>Basketball shoes</x:v>
      </x:c>
      <x:c r="B34" s="14" t="n">
        <x:f>'Monthly build'!C28</x:f>
        <x:v>0</x:v>
      </x:c>
      <x:c r="C34" s="14" t="n">
        <x:f>'Monthly build'!D28</x:f>
        <x:v>0</x:v>
      </x:c>
      <x:c r="D34" s="15" t="str">
        <x:f>IF(B34=0,"n.a.",C34/(B34/'Prices and assumptions'!$B$6))</x:f>
        <x:v>n.a.</x:v>
      </x:c>
      <x:c r="E34" s="23" t="n">
        <x:f>B34/$B$9</x:f>
        <x:v>0</x:v>
      </x:c>
      <x:c r="F34" s="23" t="n">
        <x:f>C34/$C$9</x:f>
        <x:v>0</x:v>
      </x:c>
      <x:c r="G34" s="15" t="n">
        <x:f>IF(B34=0,0,D34*E34)</x:f>
        <x:v>0</x:v>
      </x:c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3" customHeight="1">
      <x:c r="A35" s="2" t="str">
        <x:v>Road bike</x:v>
      </x:c>
      <x:c r="B35" s="14" t="n">
        <x:f>'Monthly build'!C29</x:f>
        <x:v>0</x:v>
      </x:c>
      <x:c r="C35" s="14" t="n">
        <x:f>'Monthly build'!D29</x:f>
        <x:v>0</x:v>
      </x:c>
      <x:c r="D35" s="15" t="str">
        <x:f>IF(B35=0,"n.a.",C35/(B35/'Prices and assumptions'!$B$6))</x:f>
        <x:v>n.a.</x:v>
      </x:c>
      <x:c r="E35" s="23" t="n">
        <x:f>B35/$B$9</x:f>
        <x:v>0</x:v>
      </x:c>
      <x:c r="F35" s="23" t="n">
        <x:f>C35/$C$9</x:f>
        <x:v>0</x:v>
      </x:c>
      <x:c r="G35" s="15" t="n">
        <x:f>IF(B35=0,0,D35*E35)</x:f>
        <x:v>0</x:v>
      </x:c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3" customHeight="1">
      <x:c r="A36" s="2" t="str">
        <x:v>Other routine allowance</x:v>
      </x:c>
      <x:c r="B36" s="14" t="n">
        <x:f>'Monthly build'!C31</x:f>
        <x:v>400</x:v>
      </x:c>
      <x:c r="C36" s="14" t="n">
        <x:f>'Monthly build'!D31</x:f>
        <x:v>250</x:v>
      </x:c>
      <x:c r="D36" s="15" t="n">
        <x:f>IF(B36=0,"n.a.",C36/(B36/'Prices and assumptions'!$B$6))</x:f>
        <x:v>4.4643125</x:v>
      </x:c>
      <x:c r="E36" s="23" t="n">
        <x:f>B36/$B$9</x:f>
        <x:v>0.09573653306101608</x:v>
      </x:c>
      <x:c r="F36" s="23" t="n">
        <x:f>C36/$C$9</x:f>
        <x:v>0.11087854204722888</x:v>
      </x:c>
      <x:c r="G36" s="15" t="n">
        <x:f>IF(B36=0,0,D36*E36)</x:f>
        <x:v>0.42739780125095733</x:v>
      </x:c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3" customHeight="1">
      <x:c r="A37" s="19" t="str">
        <x:v>Weighted mean / total ratio</x:v>
      </x:c>
      <x:c r="B37" s="20" t="n">
        <x:f>SUM(B21:B36)</x:f>
        <x:v>4178.133333333333</x:v>
      </x:c>
      <x:c r="C37" s="20" t="n">
        <x:f>SUM(C21:C36)</x:f>
        <x:v>2254.7194018253967</x:v>
      </x:c>
      <x:c r="D37" s="22" t="n">
        <x:f>SUM(G21:G36)</x:f>
        <x:v>3.8546484591121932</x:v>
      </x:c>
      <x:c r="E37" s="29" t="n">
        <x:f>SUM(E21:E36)</x:f>
        <x:v>1.0000000000000002</x:v>
      </x:c>
      <x:c r="F37" s="29" t="n">
        <x:f>SUM(F21:F36)</x:f>
        <x:v>1</x:v>
      </x:c>
      <x:c r="G37" s="19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3" customHeight="1">
      <x:c r="A38" s="2"/>
      <x:c r="B38" s="14"/>
      <x:c r="C38" s="14"/>
      <x:c r="D38" s="15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3" customHeight="1">
      <x:c r="A39" s="2"/>
      <x:c r="B39" s="14"/>
      <x:c r="C39" s="14"/>
      <x:c r="D39" s="15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30" customHeight="1">
      <x:c r="A40" s="9" t="str">
        <x:v>Sensitivity vs selected case</x:v>
      </x:c>
      <x:c r="B40" s="21" t="str">
        <x:v>China RMB / mo</x:v>
      </x:c>
      <x:c r="C40" s="21" t="str">
        <x:v>US USD / mo</x:v>
      </x:c>
      <x:c r="D40" s="27" t="str">
        <x:v>US / China</x:v>
      </x:c>
      <x:c r="E40" s="9" t="str">
        <x:v>Change in multiple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3" customHeight="1">
      <x:c r="A41" s="2" t="str">
        <x:v>Exclude housing/setup</x:v>
      </x:c>
      <x:c r="B41" s="14" t="n">
        <x:f>B9-B21</x:f>
        <x:v>1978.1333333333332</x:v>
      </x:c>
      <x:c r="C41" s="14" t="n">
        <x:f>C9-C21</x:f>
        <x:v>1018.3146223611111</x:v>
      </x:c>
      <x:c r="D41" s="15" t="n">
        <x:f>C41/(B41/'Prices and assumptions'!$B$6)</x:f>
        <x:v>3.6770623059095344</x:v>
      </x:c>
      <x:c r="E41" s="30" t="n">
        <x:f>D41-$D$9</x:f>
        <x:v>-0.17758615320265925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3" customHeight="1">
      <x:c r="A42" s="2" t="str">
        <x:v>Exclude food</x:v>
      </x:c>
      <x:c r="B42" s="14" t="n">
        <x:f>B9-SUM(B25:B26)</x:f>
        <x:v>3408.133333333333</x:v>
      </x:c>
      <x:c r="C42" s="14" t="n">
        <x:f>C9-SUM(C25:C26)</x:f>
        <x:v>1804.2394018253967</x:v>
      </x:c>
      <x:c r="D42" s="15" t="n">
        <x:f>C42/(B42/'Prices and assumptions'!$B$6)</x:f>
        <x:v>3.7813959616110364</x:v>
      </x:c>
      <x:c r="E42" s="30" t="n">
        <x:f>D42-$D$9</x:f>
        <x:v>-0.07325249750115725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3" customHeight="1">
      <x:c r="A43" s="2" t="str">
        <x:v>Exclude healthcare</x:v>
      </x:c>
      <x:c r="B43" s="14" t="n">
        <x:f>B9-SUM(B27:B28)</x:f>
        <x:v>4054.2166666666667</x:v>
      </x:c>
      <x:c r="C43" s="14" t="n">
        <x:f>C9-SUM(C27:C28)</x:f>
        <x:v>2116.3860684920633</x:v>
      </x:c>
      <x:c r="D43" s="15" t="n">
        <x:f>C43/(B43/'Prices and assumptions'!$B$6)</x:f>
        <x:v>3.7287435012843315</x:v>
      </x:c>
      <x:c r="E43" s="30" t="n">
        <x:f>D43-$D$9</x:f>
        <x:v>-0.12590495782786215</x:v>
      </x:c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3" customHeight="1">
      <x:c r="A44" s="2" t="str">
        <x:v>No routine allowance</x:v>
      </x:c>
      <x:c r="B44" s="14" t="n">
        <x:f>B9-B36</x:f>
        <x:v>3778.133333333333</x:v>
      </x:c>
      <x:c r="C44" s="14" t="n">
        <x:f>C9-C36</x:f>
        <x:v>2004.7194018253967</x:v>
      </x:c>
      <x:c r="D44" s="15" t="n">
        <x:f>C44/(B44/'Prices and assumptions'!$B$6)</x:f>
        <x:v>3.7901018709323724</x:v>
      </x:c>
      <x:c r="E44" s="30" t="n">
        <x:f>D44-$D$9</x:f>
        <x:v>-0.06454658817982128</x:v>
      </x:c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3" customHeight="1">
      <x:c r="A45" s="2" t="str">
        <x:v>Food: CN900 / US330</x:v>
      </x:c>
      <x:c r="B45" s="14" t="n">
        <x:f>B9-'Monthly build'!C13+MAX(0,900-'Prices and assumptions'!$B$41*'Prices and assumptions'!$B$42)</x:f>
        <x:v>4428.133333333333</x:v>
      </x:c>
      <x:c r="C45" s="14" t="n">
        <x:f>C9-'Monthly build'!D13+MAX(0,330-'Prices and assumptions'!$C$41*'Prices and assumptions'!$C$42)</x:f>
        <x:v>2184.7194018253967</x:v>
      </x:c>
      <x:c r="D45" s="15" t="n">
        <x:f>C45/(B45/'Prices and assumptions'!$B$6)</x:f>
        <x:v>3.52411073483905</x:v>
      </x:c>
      <x:c r="E45" s="30" t="n">
        <x:f>D45-$D$9</x:f>
        <x:v>-0.33053772427314376</x:v>
      </x:c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3" customHeight="1">
      <x:c r="A46" s="2" t="str">
        <x:v>Basic TV instead</x:v>
      </x:c>
      <x:c r="B46" s="14" t="n">
        <x:f>B9-B31+'Prices and assumptions'!$B$52/('Prices and assumptions'!$K$29*12*'Prices and assumptions'!$B$7)</x:f>
        <x:v>4178.133333333333</x:v>
      </x:c>
      <x:c r="C46" s="14" t="n">
        <x:f>C9-C31+'Prices and assumptions'!$C$52/('Prices and assumptions'!$K$29*12*'Prices and assumptions'!$B$7)</x:f>
        <x:v>2254.7194018253967</x:v>
      </x:c>
      <x:c r="D46" s="15" t="n">
        <x:f>C46/(B46/'Prices and assumptions'!$B$6)</x:f>
        <x:v>3.8546484591121937</x:v>
      </x:c>
      <x:c r="E46" s="30" t="n">
        <x:f>D46-$D$9</x:f>
        <x:v>0</x:v>
      </x:c>
      <x:c r="F46" s="2" t="str">
        <x:v>Already basic in case 1</x:v>
      </x:c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3" customHeight="1">
      <x:c r="A47" s="2" t="str">
        <x:v>No medical self-pay basket</x:v>
      </x:c>
      <x:c r="B47" s="14" t="n">
        <x:f>B9-B28</x:f>
        <x:v>4174.216666666666</x:v>
      </x:c>
      <x:c r="C47" s="14" t="n">
        <x:f>C9-C28</x:f>
        <x:v>2236.3860684920633</x:v>
      </x:c>
      <x:c r="D47" s="15" t="n">
        <x:f>C47/(B47/'Prices and assumptions'!$B$6)</x:f>
        <x:v>3.8268933609017166</x:v>
      </x:c>
      <x:c r="E47" s="30" t="n">
        <x:f>D47-$D$9</x:f>
        <x:v>-0.02775509821047706</x:v>
      </x:c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3" customHeight="1">
      <x:c r="A48" s="2" t="str">
        <x:v>No replaced-meal deduction</x:v>
      </x:c>
      <x:c r="B48" s="14" t="n">
        <x:f>B9+'Prices and assumptions'!$B$41*'Prices and assumptions'!$B$42</x:f>
        <x:v>4238.133333333333</x:v>
      </x:c>
      <x:c r="C48" s="14" t="n">
        <x:f>C9+'Prices and assumptions'!$C$41*'Prices and assumptions'!$C$42</x:f>
        <x:v>2290.7194018253967</x:v>
      </x:c>
      <x:c r="D48" s="15" t="n">
        <x:f>C48/(B48/'Prices and assumptions'!$B$6)</x:f>
        <x:v>3.8607514979783457</x:v>
      </x:c>
      <x:c r="E48" s="30" t="n">
        <x:f>D48-$D$9</x:f>
        <x:v>0.006103038866152044</x:v>
      </x:c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23" customHeight="1">
      <x:c r="A49" s="2" t="str">
        <x:v>First-year gym instead</x:v>
      </x:c>
      <x:c r="B49" s="14" t="n">
        <x:f>B9-B23+'Prices and assumptions'!$B$55</x:f>
        <x:v>4178.133333333333</x:v>
      </x:c>
      <x:c r="C49" s="14" t="n">
        <x:f>C9-C23+'Prices and assumptions'!$C$55</x:f>
        <x:v>2257.3354434920634</x:v>
      </x:c>
      <x:c r="D49" s="15" t="n">
        <x:f>C49/(B49/'Prices and assumptions'!$B$6)</x:f>
        <x:v>3.859120820937451</x:v>
      </x:c>
      <x:c r="E49" s="30" t="n">
        <x:f>D49-$D$9</x:f>
        <x:v>0.004472361825257121</x:v>
      </x:c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3" customHeight="1">
      <x:c r="A50" s="2" t="str">
        <x:v>No bike / basketball</x:v>
      </x:c>
      <x:c r="B50" s="14" t="n">
        <x:f>B9-SUM(B34:B35)</x:f>
        <x:v>4178.133333333333</x:v>
      </x:c>
      <x:c r="C50" s="14" t="n">
        <x:f>C9-SUM(C34:C35)</x:f>
        <x:v>2254.7194018253967</x:v>
      </x:c>
      <x:c r="D50" s="15" t="n">
        <x:f>C50/(B50/'Prices and assumptions'!$B$6)</x:f>
        <x:v>3.8546484591121937</x:v>
      </x:c>
      <x:c r="E50" s="30" t="n">
        <x:f>D50-$D$9</x:f>
        <x:v>0</x:v>
      </x:c>
      <x:c r="F50" s="2" t="str">
        <x:v>Already absent in cases 1–2</x:v>
      </x:c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23" customHeight="1">
      <x:c r="A53" s="2" t="str">
        <x:v>The weighted mean uses monthly function-level China budget shares; it equals the ratio of total budgets.</x:v>
      </x:c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23" customHeight="1">
      <x:c r="A54" s="2" t="str">
        <x:v>US-budget harmonic weighting gives the same total ratio. Raw purchase prices are never used as monthly weights.</x:v>
      </x:c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23" customHeight="1">
      <x:c r="A55" s="2" t="str">
        <x:v>Grouping housing includes US-only furniture provision. Local quantities, housing size and benefits differ.</x:v>
      </x:c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23" customHeight="1">
      <x:c r="A56" s="2" t="str">
        <x:v>The ratios describe chosen local lives, not national PPP errors, income equality or constant-quality prices.</x:v>
      </x:c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 ht="23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 ht="23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 ht="23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8748A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2" hidden="0" customWidth="1"/>
    <x:col min="2" max="2" width="1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8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3" customHeight="1">
      <x:c r="A2" s="3" t="str">
        <x:v>Monthly budget build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3" customHeight="1">
      <x:c r="A4" s="2" t="str">
        <x:v>Case selected</x:v>
      </x:c>
      <x:c r="B4" s="17" t="str">
        <x:f>CHOOSE('Prices and assumptions'!$B$4,"Entry renter","Premium renter","Renter + car/hobbies","Typical-home owner")</x:f>
        <x:v>Entry renter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3" customHeight="1">
      <x:c r="A5" s="2" t="str">
        <x:v>One adult. Provision for replacement purchases plus recurring bills; zero means deliberately excluded.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30" customHeight="1">
      <x:c r="A7" s="9" t="str">
        <x:v>Category</x:v>
      </x:c>
      <x:c r="B7" s="9" t="str">
        <x:v>Include</x:v>
      </x:c>
      <x:c r="C7" s="9" t="str">
        <x:v>China RMB / mo</x:v>
      </x:c>
      <x:c r="D7" s="9" t="str">
        <x:v>US USD / mo</x:v>
      </x:c>
      <x:c r="E7" s="9" t="str">
        <x:v>China USD / mo</x:v>
      </x:c>
      <x:c r="F7" s="9" t="str">
        <x:v>US / China</x:v>
      </x:c>
      <x:c r="G7" s="9" t="str">
        <x:v>China share</x:v>
      </x:c>
      <x:c r="H7" s="9" t="str">
        <x:v>US share</x:v>
      </x:c>
      <x:c r="I7" s="2" t="str">
        <x:v>Calculation basis</x:v>
      </x:c>
      <x:c r="J7" s="2"/>
      <x:c r="K7" s="2"/>
      <x:c r="L7" s="2"/>
      <x:c r="M7" s="2"/>
      <x:c r="N7" s="2"/>
      <x:c r="O7" s="2"/>
      <x:c r="P7" s="2"/>
      <x:c r="Q7" s="2"/>
    </x:row>
    <x:row r="8" ht="23" customHeight="1">
      <x:c r="A8" s="2" t="str">
        <x:v>Home purchase</x:v>
      </x:c>
      <x:c r="B8" s="2" t="n">
        <x:f>'Prices and assumptions'!$B$8</x:f>
        <x:v>0</x:v>
      </x:c>
      <x:c r="C8" s="24" t="n">
        <x:f>B8*($C$52)</x:f>
        <x:v>0</x:v>
      </x:c>
      <x:c r="D8" s="24" t="n">
        <x:f>B8*($D$52)</x:f>
        <x:v>0</x:v>
      </x:c>
      <x:c r="E8" s="24" t="n">
        <x:f>C8/'Prices and assumptions'!$B$6</x:f>
        <x:v>0</x:v>
      </x:c>
      <x:c r="F8" s="15" t="str">
        <x:f>IF(C8=0,"n.a.",D8/E8)</x:f>
        <x:v>n.a.</x:v>
      </x:c>
      <x:c r="G8" s="23" t="n">
        <x:f>C8/$C$35</x:f>
        <x:v>0</x:v>
      </x:c>
      <x:c r="H8" s="23" t="n">
        <x:f>D8/$D$35</x:f>
        <x:v>0</x:v>
      </x:c>
      <x:c r="I8" s="2" t="str">
        <x:v>Owner P+I and carrying cash; separate principal below</x:v>
      </x:c>
      <x:c r="J8" s="2"/>
      <x:c r="K8" s="2"/>
      <x:c r="L8" s="2"/>
      <x:c r="M8" s="2"/>
      <x:c r="N8" s="2"/>
      <x:c r="O8" s="2"/>
      <x:c r="P8" s="2"/>
      <x:c r="Q8" s="2"/>
    </x:row>
    <x:row r="9" ht="23" customHeight="1">
      <x:c r="A9" s="2" t="str">
        <x:v>Rent incl fixed fees</x:v>
      </x:c>
      <x:c r="B9" s="2" t="n">
        <x:f>1-'Prices and assumptions'!$B$8</x:f>
        <x:v>1</x:v>
      </x:c>
      <x:c r="C9" s="24" t="n">
        <x:f>B9*('Prices and assumptions'!P17)</x:f>
        <x:v>2200</x:v>
      </x:c>
      <x:c r="D9" s="24" t="n">
        <x:f>B9*('Prices and assumptions'!Q17)</x:f>
        <x:v>1225</x:v>
      </x:c>
      <x:c r="E9" s="24" t="n">
        <x:f>C9/'Prices and assumptions'!$B$6</x:f>
        <x:v>307.99815201108794</x:v>
      </x:c>
      <x:c r="F9" s="15" t="n">
        <x:f>IF(C9=0,"n.a.",D9/E9)</x:f>
        <x:v>3.977296590909091</x:v>
      </x:c>
      <x:c r="G9" s="23" t="n">
        <x:f>C9/$C$35</x:f>
        <x:v>0.5265509318355884</x:v>
      </x:c>
      <x:c r="H9" s="23" t="n">
        <x:f>D9/$D$35</x:f>
        <x:v>0.5433048560314215</x:v>
      </x:c>
      <x:c r="I9" s="2" t="str">
        <x:v>Monthly local bill</x:v>
      </x:c>
      <x:c r="J9" s="2"/>
      <x:c r="K9" s="2"/>
      <x:c r="L9" s="2"/>
      <x:c r="M9" s="2"/>
      <x:c r="N9" s="2"/>
      <x:c r="O9" s="2"/>
      <x:c r="P9" s="2"/>
      <x:c r="Q9" s="2"/>
    </x:row>
    <x:row r="10" ht="23" customHeight="1">
      <x:c r="A10" s="2" t="str">
        <x:v>Car</x:v>
      </x:c>
      <x:c r="B10" s="2" t="n">
        <x:f>'Prices and assumptions'!$B$10</x:f>
        <x:v>0</x:v>
      </x:c>
      <x:c r="C10" s="24" t="n">
        <x:f>B10*('Prices and assumptions'!P18*(1-'Prices and assumptions'!$B$53)/('Prices and assumptions'!K18*12*'Prices and assumptions'!$B$7))</x:f>
        <x:v>0</x:v>
      </x:c>
      <x:c r="D10" s="24" t="n">
        <x:f>B10*('Prices and assumptions'!Q18*(1-'Prices and assumptions'!$C$53)/('Prices and assumptions'!K18*12*'Prices and assumptions'!$B$7))</x:f>
        <x:v>0</x:v>
      </x:c>
      <x:c r="E10" s="24" t="n">
        <x:f>C10/'Prices and assumptions'!$B$6</x:f>
        <x:v>0</x:v>
      </x:c>
      <x:c r="F10" s="15" t="str">
        <x:f>IF(C10=0,"n.a.",D10/E10)</x:f>
        <x:v>n.a.</x:v>
      </x:c>
      <x:c r="G10" s="23" t="n">
        <x:f>C10/$C$35</x:f>
        <x:v>0</x:v>
      </x:c>
      <x:c r="H10" s="23" t="n">
        <x:f>D10/$D$35</x:f>
        <x:v>0</x:v>
      </x:c>
      <x:c r="I10" s="2" t="str">
        <x:v>Capital provision after20% residual; running below</x:v>
      </x:c>
      <x:c r="J10" s="2"/>
      <x:c r="K10" s="2"/>
      <x:c r="L10" s="2"/>
      <x:c r="M10" s="2"/>
      <x:c r="N10" s="2"/>
      <x:c r="O10" s="2"/>
      <x:c r="P10" s="2"/>
      <x:c r="Q10" s="2"/>
    </x:row>
    <x:row r="11" ht="23" customHeight="1">
      <x:c r="A11" s="2" t="str">
        <x:v>Gym</x:v>
      </x:c>
      <x:c r="B11" s="2" t="n">
        <x:f>1</x:f>
        <x:v>1</x:v>
      </x:c>
      <x:c r="C11" s="24" t="n">
        <x:f>B11*('Prices and assumptions'!P19)</x:f>
        <x:v>239</x:v>
      </x:c>
      <x:c r="D11" s="24" t="n">
        <x:f>B11*('Prices and assumptions'!Q19)</x:f>
        <x:v>20.657708333333336</x:v>
      </x:c>
      <x:c r="E11" s="24" t="n">
        <x:f>C11/'Prices and assumptions'!$B$6</x:f>
        <x:v>33.45979924120455</x:v>
      </x:c>
      <x:c r="F11" s="15" t="n">
        <x:f>IF(C11=0,"n.a.",D11/E11)</x:f>
        <x:v>0.6173888906032079</x:v>
      </x:c>
      <x:c r="G11" s="23" t="n">
        <x:f>C11/$C$35</x:f>
        <x:v>0.05720257850395711</x:v>
      </x:c>
      <x:c r="H11" s="23" t="n">
        <x:f>D11/$D$35</x:f>
        <x:v>0.009161986328147563</x:v>
      </x:c>
      <x:c r="I11" s="2" t="str">
        <x:v>Monthly local bill</x:v>
      </x:c>
      <x:c r="J11" s="2"/>
      <x:c r="K11" s="2"/>
      <x:c r="L11" s="2"/>
      <x:c r="M11" s="2"/>
      <x:c r="N11" s="2"/>
      <x:c r="O11" s="2"/>
      <x:c r="P11" s="2"/>
      <x:c r="Q11" s="2"/>
    </x:row>
    <x:row r="12" ht="23" customHeight="1">
      <x:c r="A12" s="2" t="str">
        <x:v>Transport</x:v>
      </x:c>
      <x:c r="B12" s="2" t="n">
        <x:f>1-'Prices and assumptions'!$B$10</x:f>
        <x:v>1</x:v>
      </x:c>
      <x:c r="C12" s="24" t="n">
        <x:f>B12*('Prices and assumptions'!P20)</x:f>
        <x:v>245</x:v>
      </x:c>
      <x:c r="D12" s="24" t="n">
        <x:f>B12*('Prices and assumptions'!Q20)</x:f>
        <x:v>125</x:v>
      </x:c>
      <x:c r="E12" s="24" t="n">
        <x:f>C12/'Prices and assumptions'!$B$6</x:f>
        <x:v>34.29979420123479</x:v>
      </x:c>
      <x:c r="F12" s="15" t="n">
        <x:f>IF(C12=0,"n.a.",D12/E12)</x:f>
        <x:v>3.6443367346938778</x:v>
      </x:c>
      <x:c r="G12" s="23" t="n">
        <x:f>C12/$C$35</x:f>
        <x:v>0.05863862649987235</x:v>
      </x:c>
      <x:c r="H12" s="23" t="n">
        <x:f>D12/$D$35</x:f>
        <x:v>0.05543927102361444</x:v>
      </x:c>
      <x:c r="I12" s="2" t="str">
        <x:v>Monthly local bill</x:v>
      </x:c>
      <x:c r="J12" s="2"/>
      <x:c r="K12" s="2"/>
      <x:c r="L12" s="2"/>
      <x:c r="M12" s="2"/>
      <x:c r="N12" s="2"/>
      <x:c r="O12" s="2"/>
      <x:c r="P12" s="2"/>
      <x:c r="Q12" s="2"/>
    </x:row>
    <x:row r="13" ht="23" customHeight="1">
      <x:c r="A13" s="2" t="str">
        <x:v>Groceries</x:v>
      </x:c>
      <x:c r="B13" s="2" t="n">
        <x:f>1</x:f>
        <x:v>1</x:v>
      </x:c>
      <x:c r="C13" s="24" t="n">
        <x:f>B13*(MAX(0,'Prices and assumptions'!P21-'Prices and assumptions'!$B$41*'Prices and assumptions'!$B$42))</x:f>
        <x:v>590</x:v>
      </x:c>
      <x:c r="D13" s="24" t="n">
        <x:f>B13*(MAX(0,'Prices and assumptions'!Q21-'Prices and assumptions'!$C$41*'Prices and assumptions'!$C$42))</x:f>
        <x:v>364</x:v>
      </x:c>
      <x:c r="E13" s="24" t="n">
        <x:f>C13/'Prices and assumptions'!$B$6</x:f>
        <x:v>82.59950440297358</x:v>
      </x:c>
      <x:c r="F13" s="15" t="n">
        <x:f>IF(C13=0,"n.a.",D13/E13)</x:f>
        <x:v>4.406806101694915</x:v>
      </x:c>
      <x:c r="G13" s="23" t="n">
        <x:f>C13/$C$35</x:f>
        <x:v>0.14121138626499874</x:v>
      </x:c>
      <x:c r="H13" s="23" t="n">
        <x:f>D13/$D$35</x:f>
        <x:v>0.16143915722076524</x:v>
      </x:c>
      <x:c r="I13" s="2" t="str">
        <x:v>Deduct ingredients for replaced home meals</x:v>
      </x:c>
      <x:c r="J13" s="2"/>
      <x:c r="K13" s="2"/>
      <x:c r="L13" s="2"/>
      <x:c r="M13" s="2"/>
      <x:c r="N13" s="2"/>
      <x:c r="O13" s="2"/>
      <x:c r="P13" s="2"/>
      <x:c r="Q13" s="2"/>
    </x:row>
    <x:row r="14" ht="23" customHeight="1">
      <x:c r="A14" s="2" t="str">
        <x:v>Eating out</x:v>
      </x:c>
      <x:c r="B14" s="2" t="n">
        <x:f>1</x:f>
        <x:v>1</x:v>
      </x:c>
      <x:c r="C14" s="24" t="n">
        <x:f>B14*('Prices and assumptions'!P22*'Prices and assumptions'!$B$41/8)</x:f>
        <x:v>180</x:v>
      </x:c>
      <x:c r="D14" s="24" t="n">
        <x:f>B14*('Prices and assumptions'!Q22*'Prices and assumptions'!$C$41/8)</x:f>
        <x:v>86.48</x:v>
      </x:c>
      <x:c r="E14" s="24" t="n">
        <x:f>C14/'Prices and assumptions'!$B$6</x:f>
        <x:v>25.199848800907194</x:v>
      </x:c>
      <x:c r="F14" s="15" t="n">
        <x:f>IF(C14=0,"n.a.",D14/E14)</x:f>
        <x:v>3.4317666222222223</x:v>
      </x:c>
      <x:c r="G14" s="23" t="n">
        <x:f>C14/$C$35</x:f>
        <x:v>0.04308143987745724</x:v>
      </x:c>
      <x:c r="H14" s="23" t="n">
        <x:f>D14/$D$35</x:f>
        <x:v>0.038355105264977415</x:v>
      </x:c>
      <x:c r="I14" s="2" t="str">
        <x:v>Meal count scales eight-meal quote</x:v>
      </x:c>
      <x:c r="J14" s="2"/>
      <x:c r="K14" s="2"/>
      <x:c r="L14" s="2"/>
      <x:c r="M14" s="2"/>
      <x:c r="N14" s="2"/>
      <x:c r="O14" s="2"/>
      <x:c r="P14" s="2"/>
      <x:c r="Q14" s="2"/>
    </x:row>
    <x:row r="15" ht="23" customHeight="1">
      <x:c r="A15" s="2" t="str">
        <x:v>Health insurance</x:v>
      </x:c>
      <x:c r="B15" s="2" t="n">
        <x:f>1</x:f>
        <x:v>1</x:v>
      </x:c>
      <x:c r="C15" s="24" t="n">
        <x:f>B15*('Prices and assumptions'!P23)</x:f>
        <x:v>120</x:v>
      </x:c>
      <x:c r="D15" s="24" t="n">
        <x:f>B15*('Prices and assumptions'!Q23)</x:f>
        <x:v>120</x:v>
      </x:c>
      <x:c r="E15" s="24" t="n">
        <x:f>C15/'Prices and assumptions'!$B$6</x:f>
        <x:v>16.799899200604795</x:v>
      </x:c>
      <x:c r="F15" s="15" t="n">
        <x:f>IF(C15=0,"n.a.",D15/E15)</x:f>
        <x:v>7.142900000000001</x:v>
      </x:c>
      <x:c r="G15" s="23" t="n">
        <x:f>C15/$C$35</x:f>
        <x:v>0.028720959918304825</x:v>
      </x:c>
      <x:c r="H15" s="23" t="n">
        <x:f>D15/$D$35</x:f>
        <x:v>0.05322170018266986</x:v>
      </x:c>
      <x:c r="I15" s="2" t="str">
        <x:v>Monthly local bill</x:v>
      </x:c>
      <x:c r="J15" s="2"/>
      <x:c r="K15" s="2"/>
      <x:c r="L15" s="2"/>
      <x:c r="M15" s="2"/>
      <x:c r="N15" s="2"/>
      <x:c r="O15" s="2"/>
      <x:c r="P15" s="2"/>
      <x:c r="Q15" s="2"/>
    </x:row>
    <x:row r="16" ht="23" customHeight="1">
      <x:c r="A16" s="2" t="str">
        <x:v>Routine medical basket</x:v>
      </x:c>
      <x:c r="B16" s="2" t="n">
        <x:f>1</x:f>
        <x:v>1</x:v>
      </x:c>
      <x:c r="C16" s="24" t="n">
        <x:f>B16*('Prices and assumptions'!P24/12)</x:f>
        <x:v>3.9166666666666665</x:v>
      </x:c>
      <x:c r="D16" s="24" t="n">
        <x:f>B16*('Prices and assumptions'!Q24/12)</x:f>
        <x:v>18.333333333333332</x:v>
      </x:c>
      <x:c r="E16" s="24" t="n">
        <x:f>C16/'Prices and assumptions'!$B$6</x:f>
        <x:v>0.5483300433530732</x:v>
      </x:c>
      <x:c r="F16" s="15" t="n">
        <x:f>IF(C16=0,"n.a.",D16/E16)</x:f>
        <x:v>33.43485106382978</x:v>
      </x:c>
      <x:c r="G16" s="23" t="n">
        <x:f>C16/$C$35</x:f>
        <x:v>0.0009374202195557825</x:v>
      </x:c>
      <x:c r="H16" s="23" t="n">
        <x:f>D16/$D$35</x:f>
        <x:v>0.00813109308346345</x:v>
      </x:c>
      <x:c r="I16" s="2" t="str">
        <x:v>Small annual routine-service basket /12</x:v>
      </x:c>
      <x:c r="J16" s="2"/>
      <x:c r="K16" s="2"/>
      <x:c r="L16" s="2"/>
      <x:c r="M16" s="2"/>
      <x:c r="N16" s="2"/>
      <x:c r="O16" s="2"/>
      <x:c r="P16" s="2"/>
      <x:c r="Q16" s="2"/>
    </x:row>
    <x:row r="17" ht="23" customHeight="1">
      <x:c r="A17" s="2" t="str">
        <x:v>Flagship phone</x:v>
      </x:c>
      <x:c r="B17" s="2" t="n">
        <x:f>'Prices and assumptions'!$B$9</x:f>
        <x:v>0</x:v>
      </x:c>
      <x:c r="C17" s="24" t="n">
        <x:f>B17*('Prices and assumptions'!P25/('Prices and assumptions'!K25*12*'Prices and assumptions'!$B$7))</x:f>
        <x:v>0</x:v>
      </x:c>
      <x:c r="D17" s="24" t="n">
        <x:f>B17*('Prices and assumptions'!Q25/('Prices and assumptions'!K25*12*'Prices and assumptions'!$B$7))</x:f>
        <x:v>0</x:v>
      </x:c>
      <x:c r="E17" s="24" t="n">
        <x:f>C17/'Prices and assumptions'!$B$6</x:f>
        <x:v>0</x:v>
      </x:c>
      <x:c r="F17" s="15" t="str">
        <x:f>IF(C17=0,"n.a.",D17/E17)</x:f>
        <x:v>n.a.</x:v>
      </x:c>
      <x:c r="G17" s="23" t="n">
        <x:f>C17/$C$35</x:f>
        <x:v>0</x:v>
      </x:c>
      <x:c r="H17" s="23" t="n">
        <x:f>D17/$D$35</x:f>
        <x:v>0</x:v>
      </x:c>
      <x:c r="I17" s="2" t="str">
        <x:v>Zero-residual replacement provision over3years</x:v>
      </x:c>
      <x:c r="J17" s="2"/>
      <x:c r="K17" s="2"/>
      <x:c r="L17" s="2"/>
      <x:c r="M17" s="2"/>
      <x:c r="N17" s="2"/>
      <x:c r="O17" s="2"/>
      <x:c r="P17" s="2"/>
      <x:c r="Q17" s="2"/>
    </x:row>
    <x:row r="18" ht="23" customHeight="1">
      <x:c r="A18" s="2" t="str">
        <x:v>Entry phone</x:v>
      </x:c>
      <x:c r="B18" s="2" t="n">
        <x:f>1-'Prices and assumptions'!$B$9</x:f>
        <x:v>1</x:v>
      </x:c>
      <x:c r="C18" s="24" t="n">
        <x:f>B18*('Prices and assumptions'!P26/('Prices and assumptions'!K26*12*'Prices and assumptions'!$B$7))</x:f>
        <x:v>27.75</x:v>
      </x:c>
      <x:c r="D18" s="24" t="n">
        <x:f>B18*('Prices and assumptions'!Q26/('Prices and assumptions'!K26*12*'Prices and assumptions'!$B$7))</x:f>
        <x:v>6.013588194444444</x:v>
      </x:c>
      <x:c r="E18" s="24" t="n">
        <x:f>C18/'Prices and assumptions'!$B$6</x:f>
        <x:v>3.884976690139859</x:v>
      </x:c>
      <x:c r="F18" s="15" t="n">
        <x:f>IF(C18=0,"n.a.",D18/E18)</x:f>
        <x:v>1.547908436544044</x:v>
      </x:c>
      <x:c r="G18" s="23" t="n">
        <x:f>C18/$C$35</x:f>
        <x:v>0.006641721981107991</x:v>
      </x:c>
      <x:c r="H18" s="23" t="n">
        <x:f>D18/$D$35</x:f>
        <x:v>0.00266711156588971</x:v>
      </x:c>
      <x:c r="I18" s="2" t="str">
        <x:v>Zero-residual replacement provision over3years</x:v>
      </x:c>
      <x:c r="J18" s="2"/>
      <x:c r="K18" s="2"/>
      <x:c r="L18" s="2"/>
      <x:c r="M18" s="2"/>
      <x:c r="N18" s="2"/>
      <x:c r="O18" s="2"/>
      <x:c r="P18" s="2"/>
      <x:c r="Q18" s="2"/>
    </x:row>
    <x:row r="19" ht="23" customHeight="1">
      <x:c r="A19" s="2" t="str">
        <x:v>Premium laptop</x:v>
      </x:c>
      <x:c r="B19" s="2" t="n">
        <x:f>'Prices and assumptions'!$B$9</x:f>
        <x:v>0</x:v>
      </x:c>
      <x:c r="C19" s="24" t="n">
        <x:f>B19*('Prices and assumptions'!P27/('Prices and assumptions'!K27*12*'Prices and assumptions'!$B$7))</x:f>
        <x:v>0</x:v>
      </x:c>
      <x:c r="D19" s="24" t="n">
        <x:f>B19*('Prices and assumptions'!Q27/('Prices and assumptions'!K27*12*'Prices and assumptions'!$B$7))</x:f>
        <x:v>0</x:v>
      </x:c>
      <x:c r="E19" s="24" t="n">
        <x:f>C19/'Prices and assumptions'!$B$6</x:f>
        <x:v>0</x:v>
      </x:c>
      <x:c r="F19" s="15" t="str">
        <x:f>IF(C19=0,"n.a.",D19/E19)</x:f>
        <x:v>n.a.</x:v>
      </x:c>
      <x:c r="G19" s="23" t="n">
        <x:f>C19/$C$35</x:f>
        <x:v>0</x:v>
      </x:c>
      <x:c r="H19" s="23" t="n">
        <x:f>D19/$D$35</x:f>
        <x:v>0</x:v>
      </x:c>
      <x:c r="I19" s="2" t="str">
        <x:v>Zero-residual replacement provision over5years</x:v>
      </x:c>
      <x:c r="J19" s="2"/>
      <x:c r="K19" s="2"/>
      <x:c r="L19" s="2"/>
      <x:c r="M19" s="2"/>
      <x:c r="N19" s="2"/>
      <x:c r="O19" s="2"/>
      <x:c r="P19" s="2"/>
      <x:c r="Q19" s="2"/>
    </x:row>
    <x:row r="20" ht="23" customHeight="1">
      <x:c r="A20" s="2" t="str">
        <x:v>Entry laptop</x:v>
      </x:c>
      <x:c r="B20" s="2" t="n">
        <x:f>1-'Prices and assumptions'!$B$9</x:f>
        <x:v>1</x:v>
      </x:c>
      <x:c r="C20" s="24" t="n">
        <x:f>B20*('Prices and assumptions'!P28/('Prices and assumptions'!K28*12*'Prices and assumptions'!$B$7))</x:f>
        <x:v>63.31666666666667</x:v>
      </x:c>
      <x:c r="D20" s="24" t="n">
        <x:f>B20*('Prices and assumptions'!Q28/('Prices and assumptions'!K28*12*'Prices and assumptions'!$B$7))</x:f>
        <x:v>12.62898625</x:v>
      </x:c>
      <x:c r="E20" s="24" t="n">
        <x:f>C20/'Prices and assumptions'!$B$6</x:f>
        <x:v>8.864280147652448</x:v>
      </x:c>
      <x:c r="F20" s="15" t="n">
        <x:f>IF(C20=0,"n.a.",D20/E20)</x:f>
        <x:v>1.4247052258772046</x:v>
      </x:c>
      <x:c r="G20" s="23" t="n">
        <x:f>C20/$C$35</x:f>
        <x:v>0.015154295379116672</x:v>
      </x:c>
      <x:c r="H20" s="23" t="n">
        <x:f>D20/$D$35</x:f>
        <x:v>0.0056011343317380015</x:v>
      </x:c>
      <x:c r="I20" s="2" t="str">
        <x:v>Zero-residual replacement provision over5years</x:v>
      </x:c>
      <x:c r="J20" s="2"/>
      <x:c r="K20" s="2"/>
      <x:c r="L20" s="2"/>
      <x:c r="M20" s="2"/>
      <x:c r="N20" s="2"/>
      <x:c r="O20" s="2"/>
      <x:c r="P20" s="2"/>
      <x:c r="Q20" s="2"/>
    </x:row>
    <x:row r="21" ht="23" customHeight="1">
      <x:c r="A21" s="2" t="str">
        <x:f>IF('Prices and assumptions'!$B$9=1,"TV Mini LED","TV basic 55-inch")</x:f>
        <x:v>TV basic 55-inch</x:v>
      </x:c>
      <x:c r="B21" s="2" t="n">
        <x:f>1</x:f>
        <x:v>1</x:v>
      </x:c>
      <x:c r="C21" s="24" t="n">
        <x:f>B21*(IF('Prices and assumptions'!$B$9=1,'Prices and assumptions'!P29,'Prices and assumptions'!$B$52)/('Prices and assumptions'!K29*12*'Prices and assumptions'!$B$7))</x:f>
        <x:v>21.416666666666668</x:v>
      </x:c>
      <x:c r="D21" s="24" t="n">
        <x:f>B21*(IF('Prices and assumptions'!$B$9=1,'Prices and assumptions'!Q29,'Prices and assumptions'!$C$52)/('Prices and assumptions'!K29*12*'Prices and assumptions'!$B$7))</x:f>
        <x:v>2.577252083333333</x:v>
      </x:c>
      <x:c r="E21" s="24" t="n">
        <x:f>C21/'Prices and assumptions'!$B$6</x:f>
        <x:v>2.998315343441273</x:v>
      </x:c>
      <x:c r="F21" s="15" t="n">
        <x:f>IF(C21=0,"n.a.",D21/E21)</x:f>
        <x:v>0.8595667193482489</x:v>
      </x:c>
      <x:c r="G21" s="23" t="n">
        <x:f>C21/$C$35</x:f>
        <x:v>0.005125893540975236</x:v>
      </x:c>
      <x:c r="H21" s="23" t="n">
        <x:f>D21/$D$35</x:f>
        <x:v>0.0011430478139527328</x:v>
      </x:c>
      <x:c r="I21" s="2" t="str">
        <x:v>Basic TV forentry; MiniLED forpremium; sevenyears</x:v>
      </x:c>
      <x:c r="J21" s="2"/>
      <x:c r="K21" s="2"/>
      <x:c r="L21" s="2"/>
      <x:c r="M21" s="2"/>
      <x:c r="N21" s="2"/>
      <x:c r="O21" s="2"/>
      <x:c r="P21" s="2"/>
      <x:c r="Q21" s="2"/>
    </x:row>
    <x:row r="22" ht="23" customHeight="1">
      <x:c r="A22" s="2" t="str">
        <x:v>Dishwasher</x:v>
      </x:c>
      <x:c r="B22" s="2" t="n">
        <x:f>'Prices and assumptions'!$B$8</x:f>
        <x:v>0</x:v>
      </x:c>
      <x:c r="C22" s="24" t="n">
        <x:f>B22*('Prices and assumptions'!P30/('Prices and assumptions'!K30*12*'Prices and assumptions'!$B$7))</x:f>
        <x:v>0</x:v>
      </x:c>
      <x:c r="D22" s="24" t="n">
        <x:f>B22*('Prices and assumptions'!Q30/('Prices and assumptions'!K30*12*'Prices and assumptions'!$B$7))</x:f>
        <x:v>0</x:v>
      </x:c>
      <x:c r="E22" s="24" t="n">
        <x:f>C22/'Prices and assumptions'!$B$6</x:f>
        <x:v>0</x:v>
      </x:c>
      <x:c r="F22" s="15" t="str">
        <x:f>IF(C22=0,"n.a.",D22/E22)</x:f>
        <x:v>n.a.</x:v>
      </x:c>
      <x:c r="G22" s="23" t="n">
        <x:f>C22/$C$35</x:f>
        <x:v>0</x:v>
      </x:c>
      <x:c r="H22" s="23" t="n">
        <x:f>D22/$D$35</x:f>
        <x:v>0</x:v>
      </x:c>
      <x:c r="I22" s="2" t="str">
        <x:v>Zero-residual replacement provision over8years</x:v>
      </x:c>
      <x:c r="J22" s="2"/>
      <x:c r="K22" s="2"/>
      <x:c r="L22" s="2"/>
      <x:c r="M22" s="2"/>
      <x:c r="N22" s="2"/>
      <x:c r="O22" s="2"/>
      <x:c r="P22" s="2"/>
      <x:c r="Q22" s="2"/>
    </x:row>
    <x:row r="23" ht="23" customHeight="1">
      <x:c r="A23" s="2" t="str">
        <x:v>Washer front-loader</x:v>
      </x:c>
      <x:c r="B23" s="2" t="n">
        <x:f>'Prices and assumptions'!$B$8</x:f>
        <x:v>0</x:v>
      </x:c>
      <x:c r="C23" s="24" t="n">
        <x:f>B23*('Prices and assumptions'!P31/('Prices and assumptions'!K31*12*'Prices and assumptions'!$B$7))</x:f>
        <x:v>0</x:v>
      </x:c>
      <x:c r="D23" s="24" t="n">
        <x:f>B23*('Prices and assumptions'!Q31/('Prices and assumptions'!K31*12*'Prices and assumptions'!$B$7))</x:f>
        <x:v>0</x:v>
      </x:c>
      <x:c r="E23" s="24" t="n">
        <x:f>C23/'Prices and assumptions'!$B$6</x:f>
        <x:v>0</x:v>
      </x:c>
      <x:c r="F23" s="15" t="str">
        <x:f>IF(C23=0,"n.a.",D23/E23)</x:f>
        <x:v>n.a.</x:v>
      </x:c>
      <x:c r="G23" s="23" t="n">
        <x:f>C23/$C$35</x:f>
        <x:v>0</x:v>
      </x:c>
      <x:c r="H23" s="23" t="n">
        <x:f>D23/$D$35</x:f>
        <x:v>0</x:v>
      </x:c>
      <x:c r="I23" s="2" t="str">
        <x:v>Zero-residual replacement provision over8years</x:v>
      </x:c>
      <x:c r="J23" s="2"/>
      <x:c r="K23" s="2"/>
      <x:c r="L23" s="2"/>
      <x:c r="M23" s="2"/>
      <x:c r="N23" s="2"/>
      <x:c r="O23" s="2"/>
      <x:c r="P23" s="2"/>
      <x:c r="Q23" s="2"/>
    </x:row>
    <x:row r="24" ht="23" customHeight="1">
      <x:c r="A24" s="2" t="str">
        <x:v>Fridge</x:v>
      </x:c>
      <x:c r="B24" s="2" t="n">
        <x:f>'Prices and assumptions'!$B$8</x:f>
        <x:v>0</x:v>
      </x:c>
      <x:c r="C24" s="24" t="n">
        <x:f>B24*('Prices and assumptions'!P32/('Prices and assumptions'!K32*12*'Prices and assumptions'!$B$7))</x:f>
        <x:v>0</x:v>
      </x:c>
      <x:c r="D24" s="24" t="n">
        <x:f>B24*('Prices and assumptions'!Q32/('Prices and assumptions'!K32*12*'Prices and assumptions'!$B$7))</x:f>
        <x:v>0</x:v>
      </x:c>
      <x:c r="E24" s="24" t="n">
        <x:f>C24/'Prices and assumptions'!$B$6</x:f>
        <x:v>0</x:v>
      </x:c>
      <x:c r="F24" s="15" t="str">
        <x:f>IF(C24=0,"n.a.",D24/E24)</x:f>
        <x:v>n.a.</x:v>
      </x:c>
      <x:c r="G24" s="23" t="n">
        <x:f>C24/$C$35</x:f>
        <x:v>0</x:v>
      </x:c>
      <x:c r="H24" s="23" t="n">
        <x:f>D24/$D$35</x:f>
        <x:v>0</x:v>
      </x:c>
      <x:c r="I24" s="2" t="str">
        <x:v>Zero-residual replacement provision over10years</x:v>
      </x:c>
      <x:c r="J24" s="2"/>
      <x:c r="K24" s="2"/>
      <x:c r="L24" s="2"/>
      <x:c r="M24" s="2"/>
      <x:c r="N24" s="2"/>
      <x:c r="O24" s="2"/>
      <x:c r="P24" s="2"/>
      <x:c r="Q24" s="2"/>
    </x:row>
    <x:row r="25" ht="23" customHeight="1">
      <x:c r="A25" s="2" t="str">
        <x:v>Furniture basket</x:v>
      </x:c>
      <x:c r="B25" s="2" t="n">
        <x:f>1</x:f>
        <x:v>1</x:v>
      </x:c>
      <x:c r="C25" s="24" t="n">
        <x:f>B25*('Prices and assumptions'!P33*'Prices and assumptions'!$B$13/('Prices and assumptions'!K33*12*'Prices and assumptions'!$B$7))</x:f>
        <x:v>0</x:v>
      </x:c>
      <x:c r="D25" s="24" t="n">
        <x:f>B25*('Prices and assumptions'!Q33*'Prices and assumptions'!$C$13/('Prices and assumptions'!K33*12*'Prices and assumptions'!$B$7))</x:f>
        <x:v>11.404779464285715</x:v>
      </x:c>
      <x:c r="E25" s="24" t="n">
        <x:f>C25/'Prices and assumptions'!$B$6</x:f>
        <x:v>0</x:v>
      </x:c>
      <x:c r="F25" s="15" t="str">
        <x:f>IF(C25=0,"n.a.",D25/E25)</x:f>
        <x:v>n.a.</x:v>
      </x:c>
      <x:c r="G25" s="23" t="n">
        <x:f>C25/$C$35</x:f>
        <x:v>0</x:v>
      </x:c>
      <x:c r="H25" s="23" t="n">
        <x:f>D25/$D$35</x:f>
        <x:v>0.005058181277480704</x:v>
      </x:c>
      <x:c r="I25" s="2" t="str">
        <x:v>China furnished renter / US unfurnished renter</x:v>
      </x:c>
      <x:c r="J25" s="2"/>
      <x:c r="K25" s="2"/>
      <x:c r="L25" s="2"/>
      <x:c r="M25" s="2"/>
      <x:c r="N25" s="2"/>
      <x:c r="O25" s="2"/>
      <x:c r="P25" s="2"/>
      <x:c r="Q25" s="2"/>
    </x:row>
    <x:row r="26" ht="23" customHeight="1">
      <x:c r="A26" s="2" t="str">
        <x:v>Clothing basics</x:v>
      </x:c>
      <x:c r="B26" s="2" t="n">
        <x:f>1</x:f>
        <x:v>1</x:v>
      </x:c>
      <x:c r="C26" s="24" t="n">
        <x:f>B26*('Prices and assumptions'!P34/12)</x:f>
        <x:v>54.48333333333333</x:v>
      </x:c>
      <x:c r="D26" s="24" t="n">
        <x:f>B26*('Prices and assumptions'!Q34/12)</x:f>
        <x:v>6.4895875</x:v>
      </x:c>
      <x:c r="E26" s="24" t="n">
        <x:f>C26/'Prices and assumptions'!$B$6</x:f>
        <x:v>7.6276209009412606</x:v>
      </x:c>
      <x:c r="F26" s="15" t="n">
        <x:f>IF(C26=0,"n.a.",D26/E26)</x:f>
        <x:v>0.8508010012924442</x:v>
      </x:c>
      <x:c r="G26" s="23" t="n">
        <x:f>C26/$C$35</x:f>
        <x:v>0.013040113607352565</x:v>
      </x:c>
      <x:c r="H26" s="23" t="n">
        <x:f>D26/$D$35</x:f>
        <x:v>0.0028782240019516836</x:v>
      </x:c>
      <x:c r="I26" s="2" t="str">
        <x:v>One defined basics basket per year /12</x:v>
      </x:c>
      <x:c r="J26" s="2"/>
      <x:c r="K26" s="2"/>
      <x:c r="L26" s="2"/>
      <x:c r="M26" s="2"/>
      <x:c r="N26" s="2"/>
      <x:c r="O26" s="2"/>
      <x:c r="P26" s="2"/>
      <x:c r="Q26" s="2"/>
    </x:row>
    <x:row r="27" ht="23" customHeight="1">
      <x:c r="A27" s="2" t="str">
        <x:v>Running shoes</x:v>
      </x:c>
      <x:c r="B27" s="2" t="n">
        <x:f>1</x:f>
        <x:v>1</x:v>
      </x:c>
      <x:c r="C27" s="24" t="n">
        <x:f>B27*('Prices and assumptions'!P35/('Prices and assumptions'!K35*12))</x:f>
        <x:v>33.25</x:v>
      </x:c>
      <x:c r="D27" s="24" t="n">
        <x:f>B27*('Prices and assumptions'!Q35/('Prices and assumptions'!K35*12))</x:f>
        <x:v>6.134166666666666</x:v>
      </x:c>
      <x:c r="E27" s="24" t="n">
        <x:f>C27/'Prices and assumptions'!$B$6</x:f>
        <x:v>4.654972070167579</x:v>
      </x:c>
      <x:c r="F27" s="15" t="n">
        <x:f>IF(C27=0,"n.a.",D27/E27)</x:f>
        <x:v>1.317766588972431</x:v>
      </x:c>
      <x:c r="G27" s="23" t="n">
        <x:f>C27/$C$35</x:f>
        <x:v>0.007958099310696963</x:v>
      </x:c>
      <x:c r="H27" s="23" t="n">
        <x:f>D27/$D$35</x:f>
        <x:v>0.002720589826698839</x:v>
      </x:c>
      <x:c r="I27" s="2" t="str">
        <x:v>One pair/year by default; frequency assumption</x:v>
      </x:c>
      <x:c r="J27" s="2"/>
      <x:c r="K27" s="2"/>
      <x:c r="L27" s="2"/>
      <x:c r="M27" s="2"/>
      <x:c r="N27" s="2"/>
      <x:c r="O27" s="2"/>
      <x:c r="P27" s="2"/>
      <x:c r="Q27" s="2"/>
    </x:row>
    <x:row r="28" ht="23" customHeight="1">
      <x:c r="A28" s="2" t="str">
        <x:v>Basketball shoes</x:v>
      </x:c>
      <x:c r="B28" s="2" t="n">
        <x:f>'Prices and assumptions'!$B$11</x:f>
        <x:v>0</x:v>
      </x:c>
      <x:c r="C28" s="24" t="n">
        <x:f>B28*('Prices and assumptions'!P36/('Prices and assumptions'!K36*12))</x:f>
        <x:v>0</x:v>
      </x:c>
      <x:c r="D28" s="24" t="n">
        <x:f>B28*('Prices and assumptions'!Q36/('Prices and assumptions'!K36*12))</x:f>
        <x:v>0</x:v>
      </x:c>
      <x:c r="E28" s="24" t="n">
        <x:f>C28/'Prices and assumptions'!$B$6</x:f>
        <x:v>0</x:v>
      </x:c>
      <x:c r="F28" s="15" t="str">
        <x:f>IF(C28=0,"n.a.",D28/E28)</x:f>
        <x:v>n.a.</x:v>
      </x:c>
      <x:c r="G28" s="23" t="n">
        <x:f>C28/$C$35</x:f>
        <x:v>0</x:v>
      </x:c>
      <x:c r="H28" s="23" t="n">
        <x:f>D28/$D$35</x:f>
        <x:v>0</x:v>
      </x:c>
      <x:c r="I28" s="2" t="str">
        <x:v>One pair/year by default; frequency assumption</x:v>
      </x:c>
      <x:c r="J28" s="2"/>
      <x:c r="K28" s="2"/>
      <x:c r="L28" s="2"/>
      <x:c r="M28" s="2"/>
      <x:c r="N28" s="2"/>
      <x:c r="O28" s="2"/>
      <x:c r="P28" s="2"/>
      <x:c r="Q28" s="2"/>
    </x:row>
    <x:row r="29" ht="23" customHeight="1">
      <x:c r="A29" s="2" t="str">
        <x:v>Road bike</x:v>
      </x:c>
      <x:c r="B29" s="2" t="n">
        <x:f>'Prices and assumptions'!$B$11</x:f>
        <x:v>0</x:v>
      </x:c>
      <x:c r="C29" s="24" t="n">
        <x:f>B29*('Prices and assumptions'!P37/('Prices and assumptions'!K37*12*'Prices and assumptions'!$B$7))</x:f>
        <x:v>0</x:v>
      </x:c>
      <x:c r="D29" s="24" t="n">
        <x:f>B29*('Prices and assumptions'!Q37/('Prices and assumptions'!K37*12*'Prices and assumptions'!$B$7))</x:f>
        <x:v>0</x:v>
      </x:c>
      <x:c r="E29" s="24" t="n">
        <x:f>C29/'Prices and assumptions'!$B$6</x:f>
        <x:v>0</x:v>
      </x:c>
      <x:c r="F29" s="15" t="str">
        <x:f>IF(C29=0,"n.a.",D29/E29)</x:f>
        <x:v>n.a.</x:v>
      </x:c>
      <x:c r="G29" s="23" t="n">
        <x:f>C29/$C$35</x:f>
        <x:v>0</x:v>
      </x:c>
      <x:c r="H29" s="23" t="n">
        <x:f>D29/$D$35</x:f>
        <x:v>0</x:v>
      </x:c>
      <x:c r="I29" s="2" t="str">
        <x:v>Zero-residual replacement provision over8years</x:v>
      </x:c>
      <x:c r="J29" s="2"/>
      <x:c r="K29" s="2"/>
      <x:c r="L29" s="2"/>
      <x:c r="M29" s="2"/>
      <x:c r="N29" s="2"/>
      <x:c r="O29" s="2"/>
      <x:c r="P29" s="2"/>
      <x:c r="Q29" s="2"/>
    </x:row>
    <x:row r="30" ht="23" customHeight="1">
      <x:c r="A30" s="2" t="str">
        <x:v>Car running allowance</x:v>
      </x:c>
      <x:c r="B30" s="2" t="n">
        <x:f>'Prices and assumptions'!$B$10</x:f>
        <x:v>0</x:v>
      </x:c>
      <x:c r="C30" s="24" t="n">
        <x:f>B30*'Prices and assumptions'!$B$44</x:f>
        <x:v>0</x:v>
      </x:c>
      <x:c r="D30" s="24" t="n">
        <x:f>B30*'Prices and assumptions'!$C$44</x:f>
        <x:v>0</x:v>
      </x:c>
      <x:c r="E30" s="24" t="n">
        <x:f>C30/'Prices and assumptions'!$B$6</x:f>
        <x:v>0</x:v>
      </x:c>
      <x:c r="F30" s="15" t="str">
        <x:f>IF(C30=0,"n.a.",D30/E30)</x:f>
        <x:v>n.a.</x:v>
      </x:c>
      <x:c r="G30" s="23" t="n">
        <x:f>C30/$C$35</x:f>
        <x:v>0</x:v>
      </x:c>
      <x:c r="H30" s="23" t="n">
        <x:f>D30/$D$35</x:f>
        <x:v>0</x:v>
      </x:c>
      <x:c r="I30" s="2" t="str">
        <x:v>Assumption includes insurance,energy,maintenance,fees,parking</x:v>
      </x:c>
      <x:c r="J30" s="2"/>
      <x:c r="K30" s="2"/>
      <x:c r="L30" s="2"/>
      <x:c r="M30" s="2"/>
      <x:c r="N30" s="2"/>
      <x:c r="O30" s="2"/>
      <x:c r="P30" s="2"/>
      <x:c r="Q30" s="2"/>
    </x:row>
    <x:row r="31" ht="23" customHeight="1">
      <x:c r="A31" s="2" t="str">
        <x:v>Other routine allowance</x:v>
      </x:c>
      <x:c r="B31" s="2" t="n">
        <x:v>1</x:v>
      </x:c>
      <x:c r="C31" s="24" t="n">
        <x:f>'Prices and assumptions'!$B$43</x:f>
        <x:v>400</x:v>
      </x:c>
      <x:c r="D31" s="24" t="n">
        <x:f>'Prices and assumptions'!$C$43</x:f>
        <x:v>250</x:v>
      </x:c>
      <x:c r="E31" s="24" t="n">
        <x:f>C31/'Prices and assumptions'!$B$6</x:f>
        <x:v>55.99966400201599</x:v>
      </x:c>
      <x:c r="F31" s="15" t="n">
        <x:f>IF(C31=0,"n.a.",D31/E31)</x:f>
        <x:v>4.4643125</x:v>
      </x:c>
      <x:c r="G31" s="23" t="n">
        <x:f>C31/$C$35</x:f>
        <x:v>0.09573653306101608</x:v>
      </x:c>
      <x:c r="H31" s="23" t="n">
        <x:f>D31/$D$35</x:f>
        <x:v>0.11087854204722888</x:v>
      </x:c>
      <x:c r="I31" s="2" t="str">
        <x:v>Illustrative completion allowance, not observed full-life costs</x:v>
      </x:c>
      <x:c r="J31" s="2"/>
      <x:c r="K31" s="2"/>
      <x:c r="L31" s="2"/>
      <x:c r="M31" s="2"/>
      <x:c r="N31" s="2"/>
      <x:c r="O31" s="2"/>
      <x:c r="P31" s="2"/>
      <x:c r="Q31" s="2"/>
    </x:row>
    <x:row r="32" ht="23" customHeight="1">
      <x:c r="A32" s="2"/>
      <x:c r="B32" s="2"/>
      <x:c r="C32" s="24"/>
      <x:c r="D32" s="24"/>
      <x:c r="E32" s="24"/>
      <x:c r="F32" s="15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3" customHeight="1">
      <x:c r="A33" s="19" t="str">
        <x:v>Covered categories</x:v>
      </x:c>
      <x:c r="B33" s="19"/>
      <x:c r="C33" s="25" t="n">
        <x:f>SUM(C8:C30)</x:f>
        <x:v>3778.1333333333328</x:v>
      </x:c>
      <x:c r="D33" s="25" t="n">
        <x:f>SUM(D8:D30)</x:f>
        <x:v>2004.719401825397</x:v>
      </x:c>
      <x:c r="E33" s="25" t="n">
        <x:f>C33/'Prices and assumptions'!$B$6</x:f>
        <x:v>528.9354930537082</x:v>
      </x:c>
      <x:c r="F33" s="22" t="n">
        <x:f>D33/E33</x:f>
        <x:v>3.7901018709323733</x:v>
      </x:c>
      <x:c r="G33" s="19"/>
      <x:c r="H33" s="19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3" customHeight="1">
      <x:c r="A34" s="2"/>
      <x:c r="B34" s="2"/>
      <x:c r="C34" s="24"/>
      <x:c r="D34" s="24"/>
      <x:c r="E34" s="24"/>
      <x:c r="F34" s="15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3" customHeight="1">
      <x:c r="A35" s="19" t="str">
        <x:v>With routine allowance</x:v>
      </x:c>
      <x:c r="B35" s="19"/>
      <x:c r="C35" s="25" t="n">
        <x:f>SUM(C8:C31)</x:f>
        <x:v>4178.133333333333</x:v>
      </x:c>
      <x:c r="D35" s="25" t="n">
        <x:f>SUM(D8:D31)</x:f>
        <x:v>2254.7194018253967</x:v>
      </x:c>
      <x:c r="E35" s="25" t="n">
        <x:f>C35/'Prices and assumptions'!$B$6</x:f>
        <x:v>584.9351570557243</x:v>
      </x:c>
      <x:c r="F35" s="22" t="n">
        <x:f>D35/E35</x:f>
        <x:v>3.8546484591121937</x:v>
      </x:c>
      <x:c r="G35" s="19"/>
      <x:c r="H35" s="19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3" customHeight="1">
      <x:c r="A36" s="2"/>
      <x:c r="B36" s="2"/>
      <x:c r="C36" s="24"/>
      <x:c r="D36" s="24"/>
      <x:c r="E36" s="24"/>
      <x:c r="F36" s="14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3" customHeight="1">
      <x:c r="A37" s="2"/>
      <x:c r="B37" s="2"/>
      <x:c r="C37" s="24"/>
      <x:c r="D37" s="24"/>
      <x:c r="E37" s="24"/>
      <x:c r="F37" s="14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30" customHeight="1">
      <x:c r="A38" s="9" t="str">
        <x:v>Property finance detail</x:v>
      </x:c>
      <x:c r="B38" s="9"/>
      <x:c r="C38" s="26"/>
      <x:c r="D38" s="26"/>
      <x:c r="E38" s="24"/>
      <x:c r="F38" s="14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3" customHeight="1">
      <x:c r="A39" s="2"/>
      <x:c r="B39" s="2"/>
      <x:c r="C39" s="24"/>
      <x:c r="D39" s="24"/>
      <x:c r="E39" s="24"/>
      <x:c r="F39" s="14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3" customHeight="1">
      <x:c r="A40" s="2"/>
      <x:c r="B40" s="2"/>
      <x:c r="C40" s="24"/>
      <x:c r="D40" s="24"/>
      <x:c r="E40" s="24"/>
      <x:c r="F40" s="14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3" customHeight="1">
      <x:c r="A41" s="2"/>
      <x:c r="B41" s="2"/>
      <x:c r="C41" s="24"/>
      <x:c r="D41" s="24"/>
      <x:c r="E41" s="24"/>
      <x:c r="F41" s="14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3" customHeight="1">
      <x:c r="A42" s="2"/>
      <x:c r="B42" s="2"/>
      <x:c r="C42" s="24"/>
      <x:c r="D42" s="24"/>
      <x:c r="E42" s="24"/>
      <x:c r="F42" s="14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3" customHeight="1">
      <x:c r="A43" s="2"/>
      <x:c r="B43" s="2"/>
      <x:c r="C43" s="24"/>
      <x:c r="D43" s="24"/>
      <x:c r="E43" s="24"/>
      <x:c r="F43" s="14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3" customHeight="1">
      <x:c r="A44" s="2" t="str">
        <x:v>Home loan principal</x:v>
      </x:c>
      <x:c r="B44" s="2"/>
      <x:c r="C44" s="24" t="n">
        <x:f>'Prices and assumptions'!P16*(1-'Prices and assumptions'!$B$45)</x:f>
        <x:v>720000</x:v>
      </x:c>
      <x:c r="D44" s="24" t="n">
        <x:f>'Prices and assumptions'!Q16*(1-'Prices and assumptions'!$C$45)</x:f>
        <x:v>264000</x:v>
      </x:c>
      <x:c r="E44" s="24"/>
      <x:c r="F44" s="14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3" customHeight="1">
      <x:c r="A45" s="2" t="str">
        <x:v>Monthly mortgage P+I</x:v>
      </x:c>
      <x:c r="B45" s="2"/>
      <x:c r="C45" s="24" t="n">
        <x:f>IF('Prices and assumptions'!$B$47=0,C44/('Prices and assumptions'!$B$46*12),C44*('Prices and assumptions'!$B$47/12)/(1-(1+'Prices and assumptions'!$B$47/12)^(-'Prices and assumptions'!$B$46*12)))</x:f>
        <x:v>3074.5180721137804</x:v>
      </x:c>
      <x:c r="D45" s="24" t="n">
        <x:f>IF('Prices and assumptions'!$C$47=0,D44/('Prices and assumptions'!$C$46*12),D44*('Prices and assumptions'!$C$47/12)/(1-(1+'Prices and assumptions'!$C$47/12)^(-'Prices and assumptions'!$C$46*12)))</x:f>
        <x:v>1747.542472842012</x:v>
      </x:c>
      <x:c r="E45" s="24"/>
      <x:c r="F45" s="14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3" customHeight="1">
      <x:c r="A46" s="2" t="str">
        <x:v>First-month mortgage interest</x:v>
      </x:c>
      <x:c r="B46" s="2"/>
      <x:c r="C46" s="24" t="n">
        <x:f>C44*'Prices and assumptions'!$B$47/12</x:f>
        <x:v>1860</x:v>
      </x:c>
      <x:c r="D46" s="24" t="n">
        <x:f>D44*'Prices and assumptions'!$C$47/12</x:f>
        <x:v>1529</x:v>
      </x:c>
      <x:c r="E46" s="24"/>
      <x:c r="F46" s="14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3" customHeight="1">
      <x:c r="A47" s="2" t="str">
        <x:v>First-month principal repaid</x:v>
      </x:c>
      <x:c r="B47" s="2"/>
      <x:c r="C47" s="24" t="n">
        <x:f>C45-C46</x:f>
        <x:v>1214.5180721137804</x:v>
      </x:c>
      <x:c r="D47" s="24" t="n">
        <x:f>D45-D46</x:f>
        <x:v>218.5424728420121</x:v>
      </x:c>
      <x:c r="E47" s="24"/>
      <x:c r="F47" s="14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3" customHeight="1">
      <x:c r="A48" s="2" t="str">
        <x:v>Monthly property tax</x:v>
      </x:c>
      <x:c r="B48" s="2"/>
      <x:c r="C48" s="24" t="n">
        <x:f>'Prices and assumptions'!P16*'Prices and assumptions'!$B$48/12</x:f>
        <x:v>0</x:v>
      </x:c>
      <x:c r="D48" s="24" t="n">
        <x:f>'Prices and assumptions'!Q16*'Prices and assumptions'!$C$48/12</x:f>
        <x:v>687.5</x:v>
      </x:c>
      <x:c r="E48" s="24"/>
      <x:c r="F48" s="14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23" customHeight="1">
      <x:c r="A49" s="2" t="str">
        <x:v>Monthly home insurance</x:v>
      </x:c>
      <x:c r="B49" s="2"/>
      <x:c r="C49" s="24" t="n">
        <x:f>'Prices and assumptions'!$B$49/12</x:f>
        <x:v>30</x:v>
      </x:c>
      <x:c r="D49" s="24" t="n">
        <x:f>'Prices and assumptions'!$C$49/12</x:f>
        <x:v>290.75</x:v>
      </x:c>
      <x:c r="E49" s="24"/>
      <x:c r="F49" s="14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3" customHeight="1">
      <x:c r="A50" s="2" t="str">
        <x:v>Management / HOA</x:v>
      </x:c>
      <x:c r="B50" s="2"/>
      <x:c r="C50" s="24" t="n">
        <x:f>'Prices and assumptions'!$B$50</x:f>
        <x:v>166</x:v>
      </x:c>
      <x:c r="D50" s="24" t="n">
        <x:f>'Prices and assumptions'!$C$50</x:f>
        <x:v>110</x:v>
      </x:c>
      <x:c r="E50" s="24"/>
      <x:c r="F50" s="14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23" customHeight="1">
      <x:c r="A51" s="2" t="str">
        <x:v>Repair reserve</x:v>
      </x:c>
      <x:c r="B51" s="2"/>
      <x:c r="C51" s="24" t="n">
        <x:f>'Prices and assumptions'!$B$51/12</x:f>
        <x:v>200</x:v>
      </x:c>
      <x:c r="D51" s="24" t="n">
        <x:f>'Prices and assumptions'!$C$51/12</x:f>
        <x:v>275</x:v>
      </x:c>
      <x:c r="E51" s="24"/>
      <x:c r="F51" s="14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23" customHeight="1">
      <x:c r="A52" s="2" t="str">
        <x:v>Owner cash requirement</x:v>
      </x:c>
      <x:c r="B52" s="2"/>
      <x:c r="C52" s="24" t="n">
        <x:f>C45+SUM(C48:C51)</x:f>
        <x:v>3470.5180721137804</x:v>
      </x:c>
      <x:c r="D52" s="24" t="n">
        <x:f>D45+SUM(D48:D51)</x:f>
        <x:v>3110.792472842012</x:v>
      </x:c>
      <x:c r="E52" s="24"/>
      <x:c r="F52" s="14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23" customHeight="1">
      <x:c r="A53" s="2" t="str">
        <x:v>First-month cost proxy</x:v>
      </x:c>
      <x:c r="B53" s="2"/>
      <x:c r="C53" s="24" t="n">
        <x:f>C46+SUM(C48:C51)+C55</x:f>
        <x:v>2856</x:v>
      </x:c>
      <x:c r="D53" s="24" t="n">
        <x:f>D46+SUM(D48:D51)+D55</x:f>
        <x:v>3112.25</x:v>
      </x:c>
      <x:c r="E53" s="24"/>
      <x:c r="F53" s="14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23" customHeight="1">
      <x:c r="A54" s="2" t="str">
        <x:v>Upfront down payment</x:v>
      </x:c>
      <x:c r="B54" s="2"/>
      <x:c r="C54" s="24" t="n">
        <x:f>'Prices and assumptions'!P16*'Prices and assumptions'!$B$45</x:f>
        <x:v>180000</x:v>
      </x:c>
      <x:c r="D54" s="24" t="n">
        <x:f>'Prices and assumptions'!Q16*'Prices and assumptions'!$C$45</x:f>
        <x:v>66000</x:v>
      </x:c>
      <x:c r="E54" s="24"/>
      <x:c r="F54" s="14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23" customHeight="1">
      <x:c r="A55" s="2" t="str">
        <x:v>Deposit opportunity cost</x:v>
      </x:c>
      <x:c r="B55" s="2"/>
      <x:c r="C55" s="24" t="n">
        <x:f>C54*'Prices and assumptions'!$B$54/12</x:f>
        <x:v>600</x:v>
      </x:c>
      <x:c r="D55" s="24" t="n">
        <x:f>D54*'Prices and assumptions'!$C$54/12</x:f>
        <x:v>220</x:v>
      </x:c>
      <x:c r="E55" s="24"/>
      <x:c r="F55" s="14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 ht="23" customHeight="1">
      <x:c r="A58" s="2" t="str">
        <x:v>Owner cash includes principal saving. Cost proxy excludes principal, adds assumed deposit opportunity cost; no appreciation.</x:v>
      </x:c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 ht="23" customHeight="1">
      <x:c r="A59" s="2" t="str">
        <x:v>Down payment and closing costs are outside monthly totals. Car provision has no finance/opportunity-cost charge.</x:v>
      </x:c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 ht="23" customHeight="1">
      <x:c r="A60" s="2" t="str">
        <x:v>Renter and owner budgets buy different local housing bundles. They are not constant-quality housing indexes.</x:v>
      </x:c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 ht="23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 ht="23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 ht="23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AACBA"/>
  </x:sheetPr>
  <x:sheetViews>
    <x:sheetView showGridLines="0" workbookViewId="0">
      <x:pane xSplit="1" ySplit="15" topLeftCell="B16" activePane="bottomRight" state="frozen"/>
    </x:sheetView>
  </x:sheetViews>
  <x:sheetFormatPr defaultRowHeight="15"/>
  <x:cols>
    <x:col min="1" max="1" width="32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05" hidden="0" customWidth="1"/>
    <x:col min="13" max="13" width="3" hidden="0" customWidth="1"/>
    <x:col min="14" max="14" width="80" hidden="0" customWidth="1"/>
    <x:col min="15" max="15" width="80" hidden="0" customWidth="1"/>
    <x:col min="16" max="16" width="17" hidden="0" customWidth="1"/>
    <x:col min="17" max="17" width="17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3" customHeight="1">
      <x:c r="A2" s="3" t="str">
        <x:v>Local prices and editable assumptions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3" customHeight="1">
      <x:c r="A4" s="2" t="str">
        <x:v>Case selected</x:v>
      </x:c>
      <x:c r="B4" s="5" t="n">
        <x:v>1</x:v>
      </x:c>
      <x:c r="C4" s="2"/>
      <x:c r="D4" s="2" t="str">
        <x:v>1 Entry renter; 2 Premium renter; 3 Premium renter + car/hobbies; 4 Typical-home owner + car/hobbies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3" customHeight="1">
      <x:c r="A5" s="2" t="str">
        <x:v>Price stress</x:v>
      </x:c>
      <x:c r="B5" s="5" t="n">
        <x:v>1</x:v>
      </x:c>
      <x:c r="C5" s="2"/>
      <x:c r="D5" s="2" t="str">
        <x:v>1 Central estimates; 2 Higher China / lower US; 3 Lower China / higher US. Stress ranges are not confidence intervals.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3" customHeight="1">
      <x:c r="A6" s="2" t="str">
        <x:v>RMB per USD</x:v>
      </x:c>
      <x:c r="B6" s="16" t="n">
        <x:v>7.1429</x:v>
      </x:c>
      <x:c r="C6" s="2"/>
      <x:c r="D6" s="2" t="str">
        <x:v>FX: 2025 annual reference, not September 2026 spot. Prices mix explicitly dated 2025–26 evidence.</x:v>
      </x:c>
      <x:c r="E6" s="2"/>
      <x:c r="F6" s="2"/>
      <x:c r="G6" s="2"/>
      <x:c r="H6" s="2"/>
      <x:c r="I6" s="2"/>
      <x:c r="J6" s="2"/>
      <x:c r="K6" s="2"/>
      <x:c r="L6" s="2"/>
      <x:c r="M6" s="2"/>
      <x:c r="N6" s="2" t="str">
        <x:v>https://www.stats.gov.cn/english/PressRelease/202602/t20260228_1962661.html</x:v>
      </x:c>
      <x:c r="O6" s="2"/>
      <x:c r="P6" s="2"/>
      <x:c r="Q6" s="2"/>
    </x:row>
    <x:row r="7" ht="23" customHeight="1">
      <x:c r="A7" s="2" t="str">
        <x:v>Durable lifetime multiplier</x:v>
      </x:c>
      <x:c r="B7" s="5" t="n">
        <x:v>1</x:v>
      </x:c>
      <x:c r="C7" s="2"/>
      <x:c r="D7" s="2" t="str">
        <x:v>Blue cells are editable. Durable years are budgeting assumptions, not measured product life.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3" customHeight="1">
      <x:c r="A8" s="2" t="str">
        <x:v>Own home</x:v>
      </x:c>
      <x:c r="B8" s="2" t="n">
        <x:f>CHOOSE($B$4,0,0,0,1)</x:f>
        <x:v>0</x:v>
      </x:c>
      <x:c r="C8" s="2" t="n">
        <x:f>B8</x:f>
        <x:v>0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3" customHeight="1">
      <x:c r="A9" s="2" t="str">
        <x:v>Premium devices / TV</x:v>
      </x:c>
      <x:c r="B9" s="2" t="n">
        <x:f>CHOOSE($B$4,0,1,1,1)</x:f>
        <x:v>0</x:v>
      </x:c>
      <x:c r="C9" s="2" t="n">
        <x:f>B9</x:f>
        <x:v>0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23" customHeight="1">
      <x:c r="A10" s="2" t="str">
        <x:v>Own car</x:v>
      </x:c>
      <x:c r="B10" s="2" t="n">
        <x:f>CHOOSE($B$4,0,0,1,1)</x:f>
        <x:v>0</x:v>
      </x:c>
      <x:c r="C10" s="2" t="n">
        <x:f>B10</x:f>
        <x:v>0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23" customHeight="1">
      <x:c r="A11" s="2" t="str">
        <x:v>Bike + basketball</x:v>
      </x:c>
      <x:c r="B11" s="2" t="n">
        <x:f>CHOOSE($B$4,0,0,1,1)</x:f>
        <x:v>0</x:v>
      </x:c>
      <x:c r="C11" s="2" t="n">
        <x:f>B11</x:f>
        <x:v>0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23" customHeight="1">
      <x:c r="A12" s="2" t="str">
        <x:v>Appliances bought separately</x:v>
      </x:c>
      <x:c r="B12" s="2" t="n">
        <x:f>B8</x:f>
        <x:v>0</x:v>
      </x:c>
      <x:c r="C12" s="2" t="n">
        <x:f>B8</x:f>
        <x:v>0</x:v>
      </x:c>
      <x:c r="D12" s="2" t="str">
        <x:v>Renters assume major appliances supplied. Laundry/utility differences sit outside the covered bill. Owners fund replacements.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23" customHeight="1">
      <x:c r="A13" s="2" t="str">
        <x:v>Furniture bought separately</x:v>
      </x:c>
      <x:c r="B13" s="2" t="n">
        <x:f>B8</x:f>
        <x:v>0</x:v>
      </x:c>
      <x:c r="C13" s="2" t="n">
        <x:v>1</x:v>
      </x:c>
      <x:c r="D13" s="2" t="str">
        <x:v>Chengdu renter is furnished; US renter needs furniture. Group with housing when computing weights.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30" customHeight="1">
      <x:c r="A15" s="9" t="str">
        <x:v>Category</x:v>
      </x:c>
      <x:c r="B15" s="9" t="str">
        <x:v>Unit</x:v>
      </x:c>
      <x:c r="C15" s="9" t="str">
        <x:v>China RMB</x:v>
      </x:c>
      <x:c r="D15" s="9" t="str">
        <x:v>US USD incl tax</x:v>
      </x:c>
      <x:c r="E15" s="9" t="str">
        <x:v>China USD</x:v>
      </x:c>
      <x:c r="F15" s="9" t="str">
        <x:v>US / China</x:v>
      </x:c>
      <x:c r="G15" s="9" t="str">
        <x:v>China low</x:v>
      </x:c>
      <x:c r="H15" s="9" t="str">
        <x:v>China high</x:v>
      </x:c>
      <x:c r="I15" s="9" t="str">
        <x:v>US low</x:v>
      </x:c>
      <x:c r="J15" s="9" t="str">
        <x:v>US high</x:v>
      </x:c>
      <x:c r="K15" s="9" t="str">
        <x:v>Life years</x:v>
      </x:c>
      <x:c r="L15" s="2" t="str">
        <x:v>Scope</x:v>
      </x:c>
      <x:c r="M15" s="2"/>
      <x:c r="N15" s="2" t="str">
        <x:v>China source</x:v>
      </x:c>
      <x:c r="O15" s="2" t="str">
        <x:v>US source</x:v>
      </x:c>
      <x:c r="P15" s="9" t="str">
        <x:v>Active China</x:v>
      </x:c>
      <x:c r="Q15" s="9" t="str">
        <x:v>Active US</x:v>
      </x:c>
    </x:row>
    <x:row r="16" ht="23" customHeight="1">
      <x:c r="A16" s="2" t="str">
        <x:v>Home purchase</x:v>
      </x:c>
      <x:c r="B16" s="2" t="str">
        <x:v>purchase</x:v>
      </x:c>
      <x:c r="C16" s="13" t="n">
        <x:v>900000</x:v>
      </x:c>
      <x:c r="D16" s="13" t="n">
        <x:v>330000</x:v>
      </x:c>
      <x:c r="E16" s="14" t="n">
        <x:f>C16/$B$6</x:f>
        <x:v>125999.24400453597</x:v>
      </x:c>
      <x:c r="F16" s="15" t="n">
        <x:f>D16/E16</x:f>
        <x:v>2.6190633333333335</x:v>
      </x:c>
      <x:c r="G16" s="13" t="n">
        <x:v>800000</x:v>
      </x:c>
      <x:c r="H16" s="13" t="n">
        <x:v>1200000</x:v>
      </x:c>
      <x:c r="I16" s="13" t="n">
        <x:v>300000</x:v>
      </x:c>
      <x:c r="J16" s="13" t="n">
        <x:v>360000</x:v>
      </x:c>
      <x:c r="K16" s="12" t="n">
        <x:v>0</x:v>
      </x:c>
      <x:c r="L16" s="2" t="str">
        <x:v>Typical local home: ~92m² Chengdu apartment / 151–178m² suburban Houston house. CN prototype; US sold median.</x:v>
      </x:c>
      <x:c r="M16" s="2"/>
      <x:c r="N16" s="2" t="str">
        <x:v>https://www.cih-index.com/report/detail/126130.html</x:v>
      </x:c>
      <x:c r="O16" s="2" t="str">
        <x:v>https://www.har.com/content/department/mls?print=1</x:v>
      </x:c>
      <x:c r="P16" s="14" t="n">
        <x:f>CHOOSE($B$5,C16,H16,G16)</x:f>
        <x:v>900000</x:v>
      </x:c>
      <x:c r="Q16" s="14" t="n">
        <x:f>CHOOSE($B$5,D16,I16,J16)</x:f>
        <x:v>330000</x:v>
      </x:c>
    </x:row>
    <x:row r="17" ht="23" customHeight="1">
      <x:c r="A17" s="2" t="str">
        <x:v>Rent incl fixed fees</x:v>
      </x:c>
      <x:c r="B17" s="2" t="str">
        <x:v>month</x:v>
      </x:c>
      <x:c r="C17" s="13" t="n">
        <x:v>2200</x:v>
      </x:c>
      <x:c r="D17" s="13" t="n">
        <x:v>1225</x:v>
      </x:c>
      <x:c r="E17" s="14" t="n">
        <x:f>C17/$B$6</x:f>
        <x:v>307.99815201108794</x:v>
      </x:c>
      <x:c r="F17" s="15" t="n">
        <x:f>D17/E17</x:f>
        <x:v>3.977296590909091</x:v>
      </x:c>
      <x:c r="G17" s="13" t="n">
        <x:v>1850</x:v>
      </x:c>
      <x:c r="H17" s="13" t="n">
        <x:v>2650</x:v>
      </x:c>
      <x:c r="I17" s="13" t="n">
        <x:v>1050</x:v>
      </x:c>
      <x:c r="J17" s="13" t="n">
        <x:v>1500</x:v>
      </x:c>
      <x:c r="K17" s="12" t="n">
        <x:v>0</x:v>
      </x:c>
      <x:c r="L17" s="2" t="str">
        <x:v>One-adult apartment rental; fees are planning allowances. Not typical owned-house rent.</x:v>
      </x:c>
      <x:c r="M17" s="2"/>
      <x:c r="N17" s="2" t="str">
        <x:v>https://www.ziroomapartment.com/houseType/getDetail/2c923996850ad87001852ea049213a73.html</x:v>
      </x:c>
      <x:c r="O17" s="2" t="str">
        <x:v>https://www.monarchatmedicalcenter.com/floorplans</x:v>
      </x:c>
      <x:c r="P17" s="14" t="n">
        <x:f>CHOOSE($B$5,C17,H17,G17)</x:f>
        <x:v>2200</x:v>
      </x:c>
      <x:c r="Q17" s="14" t="n">
        <x:f>CHOOSE($B$5,D17,I17,J17)</x:f>
        <x:v>1225</x:v>
      </x:c>
    </x:row>
    <x:row r="18" ht="23" customHeight="1">
      <x:c r="A18" s="2" t="str">
        <x:v>Car</x:v>
      </x:c>
      <x:c r="B18" s="2" t="str">
        <x:v>purchase</x:v>
      </x:c>
      <x:c r="C18" s="13" t="n">
        <x:v>145800</x:v>
      </x:c>
      <x:c r="D18" s="13" t="n">
        <x:v>40874.375</x:v>
      </x:c>
      <x:c r="E18" s="14" t="n">
        <x:f>C18/$B$6</x:f>
        <x:v>20411.87752873483</x:v>
      </x:c>
      <x:c r="F18" s="15" t="n">
        <x:f>D18/E18</x:f>
        <x:v>2.0024799258401917</x:v>
      </x:c>
      <x:c r="G18" s="13" t="n">
        <x:v>115800</x:v>
      </x:c>
      <x:c r="H18" s="13" t="n">
        <x:v>160000</x:v>
      </x:c>
      <x:c r="I18" s="13" t="n">
        <x:v>37182.1875</x:v>
      </x:c>
      <x:c r="J18" s="13" t="n">
        <x:v>45310.3125</x:v>
      </x:c>
      <x:c r="K18" s="12" t="n">
        <x:v>10</x:v>
      </x:c>
      <x:c r="L18" s="2" t="str">
        <x:v>2025 Yuan PLUS Excellence / Kona Electric SEL. China 2025 purchase-tax exemption. 20% residual.</x:v>
      </x:c>
      <x:c r="M18" s="2"/>
      <x:c r="N18" s="2" t="str">
        <x:v>https://www.byd.com/cn/dynasty-home/models/yuan/2-yuan-plus</x:v>
      </x:c>
      <x:c r="O18" s="2" t="str">
        <x:v>https://www.hyundaiusa.com/us/en/vehicles/kona-electric/sel</x:v>
      </x:c>
      <x:c r="P18" s="14" t="n">
        <x:f>CHOOSE($B$5,C18,H18,G18)</x:f>
        <x:v>145800</x:v>
      </x:c>
      <x:c r="Q18" s="14" t="n">
        <x:f>CHOOSE($B$5,D18,I18,J18)</x:f>
        <x:v>40874.375</x:v>
      </x:c>
    </x:row>
    <x:row r="19" ht="23" customHeight="1">
      <x:c r="A19" s="2" t="str">
        <x:v>Gym</x:v>
      </x:c>
      <x:c r="B19" s="2" t="str">
        <x:v>month</x:v>
      </x:c>
      <x:c r="C19" s="13" t="n">
        <x:v>239</x:v>
      </x:c>
      <x:c r="D19" s="13" t="n">
        <x:v>20.657708333333336</x:v>
      </x:c>
      <x:c r="E19" s="14" t="n">
        <x:f>C19/$B$6</x:f>
        <x:v>33.45979924120455</x:v>
      </x:c>
      <x:c r="F19" s="15" t="n">
        <x:f>D19/E19</x:f>
        <x:v>0.6173888906032079</x:v>
      </x:c>
      <x:c r="G19" s="13" t="n">
        <x:v>199</x:v>
      </x:c>
      <x:c r="H19" s="13" t="n">
        <x:v>299</x:v>
      </x:c>
      <x:c r="I19" s="13" t="n">
        <x:v>20.6577083333</x:v>
      </x:c>
      <x:c r="J19" s="13" t="n">
        <x:v>23.27375</x:v>
      </x:c>
      <x:c r="K19" s="12" t="n">
        <x:v>0</x:v>
      </x:c>
      <x:c r="L19" s="2" t="str">
        <x:v>LeFit voucher estimate / PF steady-state mandatory fees and tax.</x:v>
      </x:c>
      <x:c r="M19" s="2"/>
      <x:c r="N19" s="2" t="str">
        <x:v>https://m.dongfangfuli.com/birthday/goods/detail/792?city=145</x:v>
      </x:c>
      <x:c r="O19" s="2" t="str">
        <x:v>https://www.planetfitness.com/gyms/houston-greater-heights-tx/offers</x:v>
      </x:c>
      <x:c r="P19" s="14" t="n">
        <x:f>CHOOSE($B$5,C19,H19,G19)</x:f>
        <x:v>239</x:v>
      </x:c>
      <x:c r="Q19" s="14" t="n">
        <x:f>CHOOSE($B$5,D19,I19,J19)</x:f>
        <x:v>20.657708333333336</x:v>
      </x:c>
    </x:row>
    <x:row r="20" ht="23" customHeight="1">
      <x:c r="A20" s="2" t="str">
        <x:v>Transport</x:v>
      </x:c>
      <x:c r="B20" s="2" t="str">
        <x:v>month</x:v>
      </x:c>
      <x:c r="C20" s="13" t="n">
        <x:v>245</x:v>
      </x:c>
      <x:c r="D20" s="13" t="n">
        <x:v>125</x:v>
      </x:c>
      <x:c r="E20" s="14" t="n">
        <x:f>C20/$B$6</x:f>
        <x:v>34.29979420123479</x:v>
      </x:c>
      <x:c r="F20" s="15" t="n">
        <x:f>D20/E20</x:f>
        <x:v>3.6443367346938778</x:v>
      </x:c>
      <x:c r="G20" s="13" t="n">
        <x:v>235</x:v>
      </x:c>
      <x:c r="H20" s="13" t="n">
        <x:v>255</x:v>
      </x:c>
      <x:c r="I20" s="13" t="n">
        <x:v>120</x:v>
      </x:c>
      <x:c r="J20" s="13" t="n">
        <x:v>130</x:v>
      </x:c>
      <x:c r="K20" s="12" t="n">
        <x:v>0</x:v>
      </x:c>
      <x:c r="L20" s="2" t="str">
        <x:v>52 transit journeys plus four extra short taxis. Conditional route access.</x:v>
      </x:c>
      <x:c r="M20" s="2"/>
      <x:c r="N20" s="2" t="str">
        <x:v>https://static.sse.com.cn/disclosure/bond/announcement/company/c/new/2026-03-10/244772_20260310_VR8Y.pdf</x:v>
      </x:c>
      <x:c r="O20" s="2" t="str">
        <x:v>https://www.ridemetro.org/fares/all-about-fares</x:v>
      </x:c>
      <x:c r="P20" s="14" t="n">
        <x:f>CHOOSE($B$5,C20,H20,G20)</x:f>
        <x:v>245</x:v>
      </x:c>
      <x:c r="Q20" s="14" t="n">
        <x:f>CHOOSE($B$5,D20,I20,J20)</x:f>
        <x:v>125</x:v>
      </x:c>
    </x:row>
    <x:row r="21" ht="23" customHeight="1">
      <x:c r="A21" s="2" t="str">
        <x:v>Groceries</x:v>
      </x:c>
      <x:c r="B21" s="2" t="str">
        <x:v>month</x:v>
      </x:c>
      <x:c r="C21" s="13" t="n">
        <x:v>650</x:v>
      </x:c>
      <x:c r="D21" s="13" t="n">
        <x:v>400</x:v>
      </x:c>
      <x:c r="E21" s="14" t="n">
        <x:f>C21/$B$6</x:f>
        <x:v>90.99945400327599</x:v>
      </x:c>
      <x:c r="F21" s="15" t="n">
        <x:f>D21/E21</x:f>
        <x:v>4.395630769230769</x:v>
      </x:c>
      <x:c r="G21" s="13" t="n">
        <x:v>600</x:v>
      </x:c>
      <x:c r="H21" s="13" t="n">
        <x:v>900</x:v>
      </x:c>
      <x:c r="I21" s="13" t="n">
        <x:v>330</x:v>
      </x:c>
      <x:c r="J21" s="13" t="n">
        <x:v>480</x:v>
      </x:c>
      <x:c r="K21" s="12" t="n">
        <x:v>0</x:v>
      </x:c>
      <x:c r="L21" s="2" t="str">
        <x:v>All-home-meals model; different local diets and methods. Monthly build deducts displaced meals.</x:v>
      </x:c>
      <x:c r="M21" s="2"/>
      <x:c r="N21" s="2" t="str">
        <x:v>https://www.chinaprice.cn/spxyfx/58895.jhtml</x:v>
      </x:c>
      <x:c r="O21" s="2" t="str">
        <x:v>https://www.fna.usda.gov/research/cnpp/usda-food-plans/cost-food-monthly-reports</x:v>
      </x:c>
      <x:c r="P21" s="14" t="n">
        <x:f>CHOOSE($B$5,C21,H21,G21)</x:f>
        <x:v>650</x:v>
      </x:c>
      <x:c r="Q21" s="14" t="n">
        <x:f>CHOOSE($B$5,D21,I21,J21)</x:f>
        <x:v>400</x:v>
      </x:c>
    </x:row>
    <x:row r="22" ht="23" customHeight="1">
      <x:c r="A22" s="2" t="str">
        <x:v>Eating out</x:v>
      </x:c>
      <x:c r="B22" s="2" t="str">
        <x:v>month</x:v>
      </x:c>
      <x:c r="C22" s="13" t="n">
        <x:v>180</x:v>
      </x:c>
      <x:c r="D22" s="13" t="n">
        <x:v>86.48</x:v>
      </x:c>
      <x:c r="E22" s="14" t="n">
        <x:f>C22/$B$6</x:f>
        <x:v>25.199848800907194</x:v>
      </x:c>
      <x:c r="F22" s="15" t="n">
        <x:f>D22/E22</x:f>
        <x:v>3.4317666222222223</x:v>
      </x:c>
      <x:c r="G22" s="13" t="n">
        <x:v>160</x:v>
      </x:c>
      <x:c r="H22" s="13" t="n">
        <x:v>200</x:v>
      </x:c>
      <x:c r="I22" s="13" t="n">
        <x:v>86.48</x:v>
      </x:c>
      <x:c r="J22" s="13" t="n">
        <x:v>104</x:v>
      </x:c>
      <x:c r="K22" s="12" t="n">
        <x:v>0</x:v>
      </x:c>
      <x:c r="L22" s="2" t="str">
        <x:v>Eight counter-service meals. No tip/drink/delivery; US tax included.</x:v>
      </x:c>
      <x:c r="M22" s="2"/>
      <x:c r="N22" s="2" t="str">
        <x:v>https://finance.sina.com.cn/roll/2026-09-17/doc-iniscekc4138164.shtml</x:v>
      </x:c>
      <x:c r="O22" s="2" t="str">
        <x:v>https://cabobobsburritos.toast.site/order/cabo-bobs-burritos-houston-1810-fountain-view-dr/item-bowl-chicken_b402fe86-cab4-4048-a429-152e3f1df9a0</x:v>
      </x:c>
      <x:c r="P22" s="14" t="n">
        <x:f>CHOOSE($B$5,C22,H22,G22)</x:f>
        <x:v>180</x:v>
      </x:c>
      <x:c r="Q22" s="14" t="n">
        <x:f>CHOOSE($B$5,D22,I22,J22)</x:f>
        <x:v>86.48</x:v>
      </x:c>
    </x:row>
    <x:row r="23" ht="23" customHeight="1">
      <x:c r="A23" s="2" t="str">
        <x:v>Health insurance</x:v>
      </x:c>
      <x:c r="B23" s="2" t="str">
        <x:v>month</x:v>
      </x:c>
      <x:c r="C23" s="13" t="n">
        <x:v>120</x:v>
      </x:c>
      <x:c r="D23" s="13" t="n">
        <x:v>120</x:v>
      </x:c>
      <x:c r="E23" s="14" t="n">
        <x:f>C23/$B$6</x:f>
        <x:v>16.799899200604795</x:v>
      </x:c>
      <x:c r="F23" s="15" t="n">
        <x:f>D23/E23</x:f>
        <x:v>7.142900000000001</x:v>
      </x:c>
      <x:c r="G23" s="13" t="n">
        <x:v>100</x:v>
      </x:c>
      <x:c r="H23" s="13" t="n">
        <x:v>200</x:v>
      </x:c>
      <x:c r="I23" s="13" t="n">
        <x:v>81.25</x:v>
      </x:c>
      <x:c r="J23" s="13" t="n">
        <x:v>206.05</x:v>
      </x:c>
      <x:c r="K23" s="12" t="n">
        <x:v>0</x:v>
      </x:c>
      <x:c r="L23" s="2" t="str">
        <x:v>Employee contribution only; unequal coverage. China assumes 6000 RMB payroll base.</x:v>
      </x:c>
      <x:c r="M23" s="2"/>
      <x:c r="N23" s="2" t="str">
        <x:v>https://chinajob.mohrss.gov.cn/c/2022-10-31/363561.shtml</x:v>
      </x:c>
      <x:c r="O23" s="2" t="str">
        <x:v>https://www.kff.org/health-costs/2025-employer-health-benefits-survey/</x:v>
      </x:c>
      <x:c r="P23" s="14" t="n">
        <x:f>CHOOSE($B$5,C23,H23,G23)</x:f>
        <x:v>120</x:v>
      </x:c>
      <x:c r="Q23" s="14" t="n">
        <x:f>CHOOSE($B$5,D23,I23,J23)</x:f>
        <x:v>120</x:v>
      </x:c>
    </x:row>
    <x:row r="24" ht="23" customHeight="1">
      <x:c r="A24" s="2" t="str">
        <x:v>Routine medical basket</x:v>
      </x:c>
      <x:c r="B24" s="2" t="str">
        <x:v>year</x:v>
      </x:c>
      <x:c r="C24" s="13" t="n">
        <x:v>47</x:v>
      </x:c>
      <x:c r="D24" s="13" t="n">
        <x:v>220</x:v>
      </x:c>
      <x:c r="E24" s="14" t="n">
        <x:f>C24/$B$6</x:f>
        <x:v>6.579960520236878</x:v>
      </x:c>
      <x:c r="F24" s="15" t="n">
        <x:f>D24/E24</x:f>
        <x:v>33.43485106382979</x:v>
      </x:c>
      <x:c r="G24" s="13" t="n">
        <x:v>47</x:v>
      </x:c>
      <x:c r="H24" s="13" t="n">
        <x:v>94</x:v>
      </x:c>
      <x:c r="I24" s="13" t="n">
        <x:v>120</x:v>
      </x:c>
      <x:c r="J24" s="13" t="n">
        <x:v>320</x:v>
      </x:c>
      <x:c r="K24" s="12" t="n">
        <x:v>0</x:v>
      </x:c>
      <x:c r="L24" s="2" t="str">
        <x:v>Two visits + one CBC. Not full annual medical spending; self-pay price illustration.</x:v>
      </x:c>
      <x:c r="M24" s="2"/>
      <x:c r="N24" s="2" t="str">
        <x:v>https://upload.cdzxy.com/2025/0519/20250519032954236.pdf</x:v>
      </x:c>
      <x:c r="O24" s="2" t="str">
        <x:v>https://trshealth.org/pricing/</x:v>
      </x:c>
      <x:c r="P24" s="14" t="n">
        <x:f>CHOOSE($B$5,C24,H24,G24)</x:f>
        <x:v>47</x:v>
      </x:c>
      <x:c r="Q24" s="14" t="n">
        <x:f>CHOOSE($B$5,D24,I24,J24)</x:f>
        <x:v>220</x:v>
      </x:c>
    </x:row>
    <x:row r="25" ht="23" customHeight="1">
      <x:c r="A25" s="2" t="str">
        <x:v>Flagship phone</x:v>
      </x:c>
      <x:c r="B25" s="2" t="str">
        <x:v>purchase</x:v>
      </x:c>
      <x:c r="C25" s="13" t="n">
        <x:v>4999</x:v>
      </x:c>
      <x:c r="D25" s="13" t="n">
        <x:v>974.239175</x:v>
      </x:c>
      <x:c r="E25" s="14" t="n">
        <x:f>C25/$B$6</x:f>
        <x:v>699.8558008651949</x:v>
      </x:c>
      <x:c r="F25" s="15" t="n">
        <x:f>D25/E25</x:f>
        <x:v>1.3920570120239049</x:v>
      </x:c>
      <x:c r="G25" s="13" t="n">
        <x:v>4999</x:v>
      </x:c>
      <x:c r="H25" s="13" t="n">
        <x:v>5499</x:v>
      </x:c>
      <x:c r="I25" s="13" t="n">
        <x:v>974.239175</x:v>
      </x:c>
      <x:c r="J25" s="13" t="n">
        <x:v>1189.6675</x:v>
      </x:c>
      <x:c r="K25" s="12" t="n">
        <x:v>3</x:v>
      </x:c>
      <x:c r="L25" s="2" t="str">
        <x:v>2025 Xiaomi17Pro256 / US OnePlus13 256; iPhone upper scenario.</x:v>
      </x:c>
      <x:c r="M25" s="2"/>
      <x:c r="N25" s="2" t="str">
        <x:v>https://www.mi.com/shop</x:v>
      </x:c>
      <x:c r="O25" s="2" t="str">
        <x:v>https://www.oneplus.com/us/13/specs</x:v>
      </x:c>
      <x:c r="P25" s="14" t="n">
        <x:f>CHOOSE($B$5,C25,H25,G25)</x:f>
        <x:v>4999</x:v>
      </x:c>
      <x:c r="Q25" s="14" t="n">
        <x:f>CHOOSE($B$5,D25,I25,J25)</x:f>
        <x:v>974.239175</x:v>
      </x:c>
    </x:row>
    <x:row r="26" ht="23" customHeight="1">
      <x:c r="A26" s="2" t="str">
        <x:v>Entry phone</x:v>
      </x:c>
      <x:c r="B26" s="2" t="str">
        <x:v>purchase</x:v>
      </x:c>
      <x:c r="C26" s="13" t="n">
        <x:v>999</x:v>
      </x:c>
      <x:c r="D26" s="13" t="n">
        <x:v>216.489175</x:v>
      </x:c>
      <x:c r="E26" s="14" t="n">
        <x:f>C26/$B$6</x:f>
        <x:v>139.85916084503492</x:v>
      </x:c>
      <x:c r="F26" s="15" t="n">
        <x:f>D26/E26</x:f>
        <x:v>1.547908436544044</x:v>
      </x:c>
      <x:c r="G26" s="13" t="n">
        <x:v>999</x:v>
      </x:c>
      <x:c r="H26" s="13" t="n">
        <x:v>1299</x:v>
      </x:c>
      <x:c r="I26" s="13" t="n">
        <x:v>184.014175</x:v>
      </x:c>
      <x:c r="J26" s="13" t="n">
        <x:v>270.614175</x:v>
      </x:c>
      <x:c r="K26" s="12" t="n">
        <x:v>3</x:v>
      </x:c>
      <x:c r="L26" s="2" t="str">
        <x:v>2025 RedmiNote15 / GalaxyA16 benchmark; current/newer alternatives in range.</x:v>
      </x:c>
      <x:c r="M26" s="2"/>
      <x:c r="N26" s="2" t="str">
        <x:v>https://www.mi.com/shop</x:v>
      </x:c>
      <x:c r="O26" s="2" t="str">
        <x:v>https://www.samsung.com/us/smartphones/galaxy-a16/buy/</x:v>
      </x:c>
      <x:c r="P26" s="14" t="n">
        <x:f>CHOOSE($B$5,C26,H26,G26)</x:f>
        <x:v>999</x:v>
      </x:c>
      <x:c r="Q26" s="14" t="n">
        <x:f>CHOOSE($B$5,D26,I26,J26)</x:f>
        <x:v>216.489175</x:v>
      </x:c>
    </x:row>
    <x:row r="27" ht="23" customHeight="1">
      <x:c r="A27" s="2" t="str">
        <x:v>Premium laptop</x:v>
      </x:c>
      <x:c r="B27" s="2" t="str">
        <x:v>purchase</x:v>
      </x:c>
      <x:c r="C27" s="13" t="n">
        <x:v>8300</x:v>
      </x:c>
      <x:c r="D27" s="13" t="n">
        <x:v>1407.239175</x:v>
      </x:c>
      <x:c r="E27" s="14" t="n">
        <x:f>C27/$B$6</x:f>
        <x:v>1161.9930280418318</x:v>
      </x:c>
      <x:c r="F27" s="15" t="n">
        <x:f>D27/E27</x:f>
        <x:v>1.2110564702539155</x:v>
      </x:c>
      <x:c r="G27" s="13" t="n">
        <x:v>7799</x:v>
      </x:c>
      <x:c r="H27" s="13" t="n">
        <x:v>8799</x:v>
      </x:c>
      <x:c r="I27" s="13" t="n">
        <x:v>1407.239175</x:v>
      </x:c>
      <x:c r="J27" s="13" t="n">
        <x:v>1515.489175</x:v>
      </x:c>
      <x:c r="K27" s="12" t="n">
        <x:v>5</x:v>
      </x:c>
      <x:c r="L27" s="2" t="str">
        <x:v>Ultra7 255H / 32GB / 1TB both; IPS vs OLED, weight/battery differ.</x:v>
      </x:c>
      <x:c r="M27" s="2"/>
      <x:c r="N27" s="2" t="str">
        <x:v>https://wiki.smzdm.com/p/pgpgdq7/</x:v>
      </x:c>
      <x:c r="O27" s="2" t="str">
        <x:v>https://www.newegg.com/asus-vivobook-s-16-3k-oled-intel-core-ultra-7-255h-32gb-1tb-ssd-win11home-s5606ca-ns79/p/N82E16834236727</x:v>
      </x:c>
      <x:c r="P27" s="14" t="n">
        <x:f>CHOOSE($B$5,C27,H27,G27)</x:f>
        <x:v>8300</x:v>
      </x:c>
      <x:c r="Q27" s="14" t="n">
        <x:f>CHOOSE($B$5,D27,I27,J27)</x:f>
        <x:v>1407.239175</x:v>
      </x:c>
    </x:row>
    <x:row r="28" ht="23" customHeight="1">
      <x:c r="A28" s="2" t="str">
        <x:v>Entry laptop</x:v>
      </x:c>
      <x:c r="B28" s="2" t="str">
        <x:v>purchase</x:v>
      </x:c>
      <x:c r="C28" s="13" t="n">
        <x:v>3799</x:v>
      </x:c>
      <x:c r="D28" s="13" t="n">
        <x:v>757.739175</x:v>
      </x:c>
      <x:c r="E28" s="14" t="n">
        <x:f>C28/$B$6</x:f>
        <x:v>531.8568088591469</x:v>
      </x:c>
      <x:c r="F28" s="15" t="n">
        <x:f>D28/E28</x:f>
        <x:v>1.4247052258772044</x:v>
      </x:c>
      <x:c r="G28" s="13" t="n">
        <x:v>3499</x:v>
      </x:c>
      <x:c r="H28" s="13" t="n">
        <x:v>3799</x:v>
      </x:c>
      <x:c r="I28" s="13" t="n">
        <x:v>541.239175</x:v>
      </x:c>
      <x:c r="J28" s="13" t="n">
        <x:v>757.739175</x:v>
      </x:c>
      <x:c r="K28" s="12" t="n">
        <x:v>5</x:v>
      </x:c>
      <x:c r="L28" s="2" t="str">
        <x:v>16GB/512GB Windows. US low is dated promotion, not current checkout.</x:v>
      </x:c>
      <x:c r="M28" s="2"/>
      <x:c r="N28" s="2" t="str">
        <x:v>https://item.jd.com/product/9HLWdH_xxTBbhK6B9kgjEw.html</x:v>
      </x:c>
      <x:c r="O28" s="2" t="str">
        <x:v>https://www.bestbuy.com/product/acer-aspire-go-15-15-6-fhd-laptop-amd-ryzen-7-7730u-2023-amd-radeon-graphics-16gb-ddr4-512gb-pcie-storage-pure-silver/JJ8V8HLR76/sku/6667612</x:v>
      </x:c>
      <x:c r="P28" s="14" t="n">
        <x:f>CHOOSE($B$5,C28,H28,G28)</x:f>
        <x:v>3799</x:v>
      </x:c>
      <x:c r="Q28" s="14" t="n">
        <x:f>CHOOSE($B$5,D28,I28,J28)</x:f>
        <x:v>757.739175</x:v>
      </x:c>
    </x:row>
    <x:row r="29" ht="23" customHeight="1">
      <x:c r="A29" s="2" t="str">
        <x:v>TV Mini LED</x:v>
      </x:c>
      <x:c r="B29" s="2" t="str">
        <x:v>purchase</x:v>
      </x:c>
      <x:c r="C29" s="13" t="n">
        <x:v>3058</x:v>
      </x:c>
      <x:c r="D29" s="13" t="n">
        <x:v>649.489175</x:v>
      </x:c>
      <x:c r="E29" s="14" t="n">
        <x:f>C29/$B$6</x:f>
        <x:v>428.11743129541225</x:v>
      </x:c>
      <x:c r="F29" s="15" t="n">
        <x:f>D29/E29</x:f>
        <x:v>1.5170818273732833</x:v>
      </x:c>
      <x:c r="G29" s="13" t="n">
        <x:v>2499</x:v>
      </x:c>
      <x:c r="H29" s="13" t="n">
        <x:v>3499</x:v>
      </x:c>
      <x:c r="I29" s="13" t="n">
        <x:v>541.239175</x:v>
      </x:c>
      <x:c r="J29" s="13" t="n">
        <x:v>865.989175</x:v>
      </x:c>
      <x:c r="K29" s="12" t="n">
        <x:v>7</x:v>
      </x:c>
      <x:c r="L29" s="2" t="str">
        <x:v>55S595C / 55QM6K provisional feature tier. Low CN Redmi quote is historical. Entry case uses basicTV.</x:v>
      </x:c>
      <x:c r="M29" s="2"/>
      <x:c r="N29" s="2" t="str">
        <x:v>https://detail.youzan.com/show/goods?alias=36bfou2xyo0n7cc&amp;from_source=gbox_seo</x:v>
      </x:c>
      <x:c r="O29" s="2" t="str">
        <x:v>https://us.tcl.com/products/qm6k-series-qd-mini-led-qled-4k-uhd-smart-tv-with-google-tv</x:v>
      </x:c>
      <x:c r="P29" s="14" t="n">
        <x:f>CHOOSE($B$5,C29,H29,G29)</x:f>
        <x:v>3058</x:v>
      </x:c>
      <x:c r="Q29" s="14" t="n">
        <x:f>CHOOSE($B$5,D29,I29,J29)</x:f>
        <x:v>649.489175</x:v>
      </x:c>
    </x:row>
    <x:row r="30" ht="23" customHeight="1">
      <x:c r="A30" s="2" t="str">
        <x:v>Dishwasher</x:v>
      </x:c>
      <x:c r="B30" s="2" t="str">
        <x:v>purchase</x:v>
      </x:c>
      <x:c r="C30" s="13" t="n">
        <x:v>3499</x:v>
      </x:c>
      <x:c r="D30" s="13" t="n">
        <x:v>702.5425</x:v>
      </x:c>
      <x:c r="E30" s="14" t="n">
        <x:f>C30/$B$6</x:f>
        <x:v>489.85706085763485</x:v>
      </x:c>
      <x:c r="F30" s="15" t="n">
        <x:f>D30/E30</x:f>
        <x:v>1.4341785719491285</x:v>
      </x:c>
      <x:c r="G30" s="13" t="n">
        <x:v>3499</x:v>
      </x:c>
      <x:c r="H30" s="13" t="n">
        <x:v>3999</x:v>
      </x:c>
      <x:c r="I30" s="13" t="n">
        <x:v>540.1675</x:v>
      </x:c>
      <x:c r="J30" s="13" t="n">
        <x:v>702.5425</x:v>
      </x:c>
      <x:c r="K30" s="12" t="n">
        <x:v>8</x:v>
      </x:c>
      <x:c r="L30" s="2" t="str">
        <x:v>MijiaS20 dated unsubsidised price / Midea649USD no-sale. Installation excluded.</x:v>
      </x:c>
      <x:c r="M30" s="2"/>
      <x:c r="N30" s="2" t="str">
        <x:v>https://www.mi.com/shop/buy/detail?product_id=21709</x:v>
      </x:c>
      <x:c r="O30" s="2" t="str">
        <x:v>https://www.lowes.com/pd/Midea-24-built-in-dishwasher-47dBA-SS/5015622687</x:v>
      </x:c>
      <x:c r="P30" s="14" t="n">
        <x:f>CHOOSE($B$5,C30,H30,G30)</x:f>
        <x:v>3499</x:v>
      </x:c>
      <x:c r="Q30" s="14" t="n">
        <x:f>CHOOSE($B$5,D30,I30,J30)</x:f>
        <x:v>702.5425</x:v>
      </x:c>
    </x:row>
    <x:row r="31" ht="23" customHeight="1">
      <x:c r="A31" s="2" t="str">
        <x:v>Washer front-loader</x:v>
      </x:c>
      <x:c r="B31" s="2" t="str">
        <x:v>purchase</x:v>
      </x:c>
      <x:c r="C31" s="13" t="n">
        <x:v>1599</x:v>
      </x:c>
      <x:c r="D31" s="13" t="n">
        <x:v>789.1425</x:v>
      </x:c>
      <x:c r="E31" s="14" t="n">
        <x:f>C31/$B$6</x:f>
        <x:v>223.8586568480589</x:v>
      </x:c>
      <x:c r="F31" s="15" t="n">
        <x:f>D31/E31</x:f>
        <x:v>3.52518196575985</x:v>
      </x:c>
      <x:c r="G31" s="13" t="n">
        <x:v>1599</x:v>
      </x:c>
      <x:c r="H31" s="13" t="n">
        <x:v>1900</x:v>
      </x:c>
      <x:c r="I31" s="13" t="n">
        <x:v>789.1425</x:v>
      </x:c>
      <x:c r="J31" s="13" t="n">
        <x:v>973.1675</x:v>
      </x:c>
      <x:c r="K31" s="12" t="n">
        <x:v>8</x:v>
      </x:c>
      <x:c r="L31" s="2" t="str">
        <x:v>Haier10kg / Samsung4.5cuft. Wash/rinse/spin; no dryer. Capacity measures differ.</x:v>
      </x:c>
      <x:c r="M31" s="2"/>
      <x:c r="N31" s="2" t="str">
        <x:v>https://www.haier.com/laundry/20240726_248196.shtml</x:v>
      </x:c>
      <x:c r="O31" s="2" t="str">
        <x:v>https://www.homedepot.com/p/313846213</x:v>
      </x:c>
      <x:c r="P31" s="14" t="n">
        <x:f>CHOOSE($B$5,C31,H31,G31)</x:f>
        <x:v>1599</x:v>
      </x:c>
      <x:c r="Q31" s="14" t="n">
        <x:f>CHOOSE($B$5,D31,I31,J31)</x:f>
        <x:v>789.1425</x:v>
      </x:c>
    </x:row>
    <x:row r="32" ht="23" customHeight="1">
      <x:c r="A32" s="2" t="str">
        <x:v>Fridge</x:v>
      </x:c>
      <x:c r="B32" s="2" t="str">
        <x:v>purchase</x:v>
      </x:c>
      <x:c r="C32" s="13" t="n">
        <x:v>1899</x:v>
      </x:c>
      <x:c r="D32" s="13" t="n">
        <x:v>757.75</x:v>
      </x:c>
      <x:c r="E32" s="14" t="n">
        <x:f>C32/$B$6</x:f>
        <x:v>265.8584048495709</x:v>
      </x:c>
      <x:c r="F32" s="15" t="n">
        <x:f>D32/E32</x:f>
        <x:v>2.8502014086361243</x:v>
      </x:c>
      <x:c r="G32" s="13" t="n">
        <x:v>1899</x:v>
      </x:c>
      <x:c r="H32" s="13" t="n">
        <x:v>1949</x:v>
      </x:c>
      <x:c r="I32" s="13" t="n">
        <x:v>649.5</x:v>
      </x:c>
      <x:c r="J32" s="13" t="n">
        <x:v>1028.375</x:v>
      </x:c>
      <x:c r="K32" s="12" t="n">
        <x:v>10</x:v>
      </x:c>
      <x:c r="L32" s="2" t="str">
        <x:v>Mijia636L / Insignia20.5cuft. US700pretax modeled within600–950 quotes.</x:v>
      </x:c>
      <x:c r="M32" s="2"/>
      <x:c r="N32" s="2" t="str">
        <x:v>https://www.mi.com/shop</x:v>
      </x:c>
      <x:c r="O32" s="2" t="str">
        <x:v>https://www.bestbuy.com/product/insignia-20-5-cu-ft-top-freezer-refrigerator-with-energy-star-certification-stainless-steel/J2FPJKPLQS</x:v>
      </x:c>
      <x:c r="P32" s="14" t="n">
        <x:f>CHOOSE($B$5,C32,H32,G32)</x:f>
        <x:v>1899</x:v>
      </x:c>
      <x:c r="Q32" s="14" t="n">
        <x:f>CHOOSE($B$5,D32,I32,J32)</x:f>
        <x:v>757.75</x:v>
      </x:c>
    </x:row>
    <x:row r="33" ht="23" customHeight="1">
      <x:c r="A33" s="2" t="str">
        <x:v>Furniture basket</x:v>
      </x:c>
      <x:c r="B33" s="2" t="str">
        <x:v>purchase</x:v>
      </x:c>
      <x:c r="C33" s="13" t="n">
        <x:v>4404.98</x:v>
      </x:c>
      <x:c r="D33" s="13" t="n">
        <x:v>958.001475</x:v>
      </x:c>
      <x:c r="E33" s="14" t="n">
        <x:f>C33/$B$6</x:f>
        <x:v>616.6934998390009</x:v>
      </x:c>
      <x:c r="F33" s="15" t="n">
        <x:f>D33/E33</x:f>
        <x:v>1.5534483098169574</x:v>
      </x:c>
      <x:c r="G33" s="13" t="n">
        <x:v>4354.98</x:v>
      </x:c>
      <x:c r="H33" s="13" t="n">
        <x:v>5000</x:v>
      </x:c>
      <x:c r="I33" s="13" t="n">
        <x:v>958.001475</x:v>
      </x:c>
      <x:c r="J33" s="13" t="n">
        <x:v>1067.333975</x:v>
      </x:c>
      <x:c r="K33" s="12" t="n">
        <x:v>7</x:v>
      </x:c>
      <x:c r="L33" s="2" t="str">
        <x:v>Defined bed,mattress,sofa,table+2chairs; delivery scenario,self-assembly.</x:v>
      </x:c>
      <x:c r="M33" s="2"/>
      <x:c r="N33" s="2" t="str">
        <x:v>https://www.ikea.cn/cn/zh/p/vihals-wei-ha-si-chuang-jia-bai-se-lu-rui-s49581846/</x:v>
      </x:c>
      <x:c r="O33" s="2" t="str">
        <x:v>https://www.walmart.com/ip/53737447</x:v>
      </x:c>
      <x:c r="P33" s="14" t="n">
        <x:f>CHOOSE($B$5,C33,H33,G33)</x:f>
        <x:v>4404.98</x:v>
      </x:c>
      <x:c r="Q33" s="14" t="n">
        <x:f>CHOOSE($B$5,D33,I33,J33)</x:f>
        <x:v>958.001475</x:v>
      </x:c>
    </x:row>
    <x:row r="34" ht="23" customHeight="1">
      <x:c r="A34" s="2" t="str">
        <x:v>Clothing basics</x:v>
      </x:c>
      <x:c r="B34" s="2" t="str">
        <x:v>year</x:v>
      </x:c>
      <x:c r="C34" s="13" t="n">
        <x:v>653.8</x:v>
      </x:c>
      <x:c r="D34" s="13" t="n">
        <x:v>77.87505</x:v>
      </x:c>
      <x:c r="E34" s="14" t="n">
        <x:f>C34/$B$6</x:f>
        <x:v>91.53145081129513</x:v>
      </x:c>
      <x:c r="F34" s="15" t="n">
        <x:f>D34/E34</x:f>
        <x:v>0.8508010012924442</x:v>
      </x:c>
      <x:c r="G34" s="13" t="n">
        <x:v>573.8</x:v>
      </x:c>
      <x:c r="H34" s="13" t="n">
        <x:v>653.8</x:v>
      </x:c>
      <x:c r="I34" s="13" t="n">
        <x:v>77.87505</x:v>
      </x:c>
      <x:c r="J34" s="13" t="n">
        <x:v>95</x:v>
      </x:c>
      <x:c r="K34" s="12" t="n">
        <x:v>0</x:v>
      </x:c>
      <x:c r="L34" s="2" t="str">
        <x:v>Annual assumption: four tees,two jeans,six underwear. No coats/socks/formalwear.</x:v>
      </x:c>
      <x:c r="M34" s="2"/>
      <x:c r="N34" s="2" t="str">
        <x:v>https://www.ithome.com/0/927/526.htm</x:v>
      </x:c>
      <x:c r="O34" s="2" t="str">
        <x:v>https://www.target.com/p/-/A-54244244</x:v>
      </x:c>
      <x:c r="P34" s="14" t="n">
        <x:f>CHOOSE($B$5,C34,H34,G34)</x:f>
        <x:v>653.8</x:v>
      </x:c>
      <x:c r="Q34" s="14" t="n">
        <x:f>CHOOSE($B$5,D34,I34,J34)</x:f>
        <x:v>77.87505</x:v>
      </x:c>
    </x:row>
    <x:row r="35" ht="23" customHeight="1">
      <x:c r="A35" s="2" t="str">
        <x:v>Running shoes</x:v>
      </x:c>
      <x:c r="B35" s="2" t="str">
        <x:v>pair</x:v>
      </x:c>
      <x:c r="C35" s="13" t="n">
        <x:v>399</x:v>
      </x:c>
      <x:c r="D35" s="13" t="n">
        <x:v>73.61</x:v>
      </x:c>
      <x:c r="E35" s="14" t="n">
        <x:f>C35/$B$6</x:f>
        <x:v>55.85966484201095</x:v>
      </x:c>
      <x:c r="F35" s="15" t="n">
        <x:f>D35/E35</x:f>
        <x:v>1.317766588972431</x:v>
      </x:c>
      <x:c r="G35" s="13" t="n">
        <x:v>250</x:v>
      </x:c>
      <x:c r="H35" s="13" t="n">
        <x:v>400</x:v>
      </x:c>
      <x:c r="I35" s="13" t="n">
        <x:v>58.455</x:v>
      </x:c>
      <x:c r="J35" s="13" t="n">
        <x:v>97.425</x:v>
      </x:c>
      <x:c r="K35" s="12" t="n">
        <x:v>1</x:v>
      </x:c>
      <x:c r="L35" s="2" t="str">
        <x:v>One pair/year. Chitu8 current399 / DuramoSpeed2 sale68USD; fit/durability differ.</x:v>
      </x:c>
      <x:c r="M35" s="2"/>
      <x:c r="N35" s="2" t="str">
        <x:v>https://m.yougou.com/c-lining/sku-arpv001-yg101652799</x:v>
      </x:c>
      <x:c r="O35" s="2" t="str">
        <x:v>https://www.adidas.com/us/duramo-speed-2-running-shoes/KJ2866.html</x:v>
      </x:c>
      <x:c r="P35" s="14" t="n">
        <x:f>CHOOSE($B$5,C35,H35,G35)</x:f>
        <x:v>399</x:v>
      </x:c>
      <x:c r="Q35" s="14" t="n">
        <x:f>CHOOSE($B$5,D35,I35,J35)</x:f>
        <x:v>73.61</x:v>
      </x:c>
    </x:row>
    <x:row r="36" ht="23" customHeight="1">
      <x:c r="A36" s="2" t="str">
        <x:v>Basketball shoes</x:v>
      </x:c>
      <x:c r="B36" s="2" t="str">
        <x:v>pair</x:v>
      </x:c>
      <x:c r="C36" s="13" t="n">
        <x:v>300</x:v>
      </x:c>
      <x:c r="D36" s="13" t="n">
        <x:v>83.320025</x:v>
      </x:c>
      <x:c r="E36" s="14" t="n">
        <x:f>C36/$B$6</x:f>
        <x:v>41.99974800151199</x:v>
      </x:c>
      <x:c r="F36" s="15" t="n">
        <x:f>D36/E36</x:f>
        <x:v>1.9838220219083333</x:v>
      </x:c>
      <x:c r="G36" s="13" t="n">
        <x:v>200</x:v>
      </x:c>
      <x:c r="H36" s="13" t="n">
        <x:v>380</x:v>
      </x:c>
      <x:c r="I36" s="13" t="n">
        <x:v>70</x:v>
      </x:c>
      <x:c r="J36" s="13" t="n">
        <x:v>103</x:v>
      </x:c>
      <x:c r="K36" s="12" t="n">
        <x:v>1</x:v>
      </x:c>
      <x:c r="L36" s="2" t="str">
        <x:v>One pair/year in hobby cases. China promotional shopping allowance,indoor court.</x:v>
      </x:c>
      <x:c r="M36" s="2"/>
      <x:c r="N36" s="2" t="str">
        <x:v>https://www.smzdm.com/p/179864733/</x:v>
      </x:c>
      <x:c r="O36" s="2" t="str">
        <x:v>https://www.nike.com/t/gt-cut-academy-basketball-shoes-HWCFvAob</x:v>
      </x:c>
      <x:c r="P36" s="14" t="n">
        <x:f>CHOOSE($B$5,C36,H36,G36)</x:f>
        <x:v>300</x:v>
      </x:c>
      <x:c r="Q36" s="14" t="n">
        <x:f>CHOOSE($B$5,D36,I36,J36)</x:f>
        <x:v>83.320025</x:v>
      </x:c>
    </x:row>
    <x:row r="37" ht="23" customHeight="1">
      <x:c r="A37" s="2" t="str">
        <x:v>Road bike</x:v>
      </x:c>
      <x:c r="B37" s="2" t="str">
        <x:v>purchase</x:v>
      </x:c>
      <x:c r="C37" s="13" t="n">
        <x:v>24500</x:v>
      </x:c>
      <x:c r="D37" s="13" t="n">
        <x:v>4599.5425000000005</x:v>
      </x:c>
      <x:c r="E37" s="14" t="n">
        <x:f>C37/$B$6</x:f>
        <x:v>3429.979420123479</x:v>
      </x:c>
      <x:c r="F37" s="15" t="n">
        <x:f>D37/E37</x:f>
        <x:v>1.3409825356428573</x:v>
      </x:c>
      <x:c r="G37" s="13" t="n">
        <x:v>22000</x:v>
      </x:c>
      <x:c r="H37" s="13" t="n">
        <x:v>28000</x:v>
      </x:c>
      <x:c r="I37" s="13" t="n">
        <x:v>4599.5425000000005</x:v>
      </x:c>
      <x:c r="J37" s="13" t="n">
        <x:v>5518.585</x:v>
      </x:c>
      <x:c r="K37" s="12" t="n">
        <x:v>8</x:v>
      </x:c>
      <x:c r="L37" s="2" t="str">
        <x:v>China low-confidence105Di2/HYPER3build estimate / sameWinspace US offer+50shipping+tax. UpperUSCanyon.</x:v>
      </x:c>
      <x:c r="M37" s="2"/>
      <x:c r="N37" s="2" t="str">
        <x:v>https://wiki.smzdm.com/p/7yvx89o/</x:v>
      </x:c>
      <x:c r="O37" s="2" t="str">
        <x:v>https://www.winspace.cc/products/t1550-gen2-105-di2</x:v>
      </x:c>
      <x:c r="P37" s="14" t="n">
        <x:f>CHOOSE($B$5,C37,H37,G37)</x:f>
        <x:v>24500</x:v>
      </x:c>
      <x:c r="Q37" s="14" t="n">
        <x:f>CHOOSE($B$5,D37,I37,J37)</x:f>
        <x:v>4599.5425000000005</x:v>
      </x:c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30" customHeight="1">
      <x:c r="A40" s="9" t="str">
        <x:v>Budget drivers</x:v>
      </x:c>
      <x:c r="B40" s="9" t="str">
        <x:v>China / RMB</x:v>
      </x:c>
      <x:c r="C40" s="9" t="str">
        <x:v>US / USD</x:v>
      </x:c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3" customHeight="1">
      <x:c r="A41" s="2" t="str">
        <x:v>Restaurant meals / month</x:v>
      </x:c>
      <x:c r="B41" s="10" t="n">
        <x:v>8</x:v>
      </x:c>
      <x:c r="C41" s="10" t="n">
        <x:v>8</x:v>
      </x:c>
      <x:c r="D41" s="2" t="str">
        <x:v>Scenario count. Price row contains eight meals.</x:v>
      </x:c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3" customHeight="1">
      <x:c r="A42" s="2" t="str">
        <x:v>Home ingredients avoided / meal</x:v>
      </x:c>
      <x:c r="B42" s="10" t="n">
        <x:v>7.5</x:v>
      </x:c>
      <x:c r="C42" s="10" t="n">
        <x:v>4.5</x:v>
      </x:c>
      <x:c r="D42" s="2" t="str">
        <x:v>Assumed lunch/dinner ingredient cost, not equal division of breakfasts and snacks.</x:v>
      </x:c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3" customHeight="1">
      <x:c r="A43" s="2" t="str">
        <x:v>Other routine monthly allowance</x:v>
      </x:c>
      <x:c r="B43" s="10" t="n">
        <x:v>400</x:v>
      </x:c>
      <x:c r="C43" s="10" t="n">
        <x:v>250</x:v>
      </x:c>
      <x:c r="D43" s="2" t="str">
        <x:v>Assumption: utilities, communications and omitted routine spending. Not a researched full-life budget.</x:v>
      </x:c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23" customHeight="1">
      <x:c r="A44" s="2" t="str">
        <x:v>Car running / month</x:v>
      </x:c>
      <x:c r="B44" s="10" t="n">
        <x:v>800</x:v>
      </x:c>
      <x:c r="C44" s="10" t="n">
        <x:v>350</x:v>
      </x:c>
      <x:c r="D44" s="2" t="str">
        <x:v>Assumption includes energy, insurance, maintenance, registration and parking. No loan payments.</x:v>
      </x:c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3" customHeight="1">
      <x:c r="A45" s="2" t="str">
        <x:v>Home down payment</x:v>
      </x:c>
      <x:c r="B45" s="11" t="n">
        <x:v>0.2</x:v>
      </x:c>
      <x:c r="C45" s="11" t="n">
        <x:v>0.2</x:v>
      </x:c>
      <x:c r="D45" s="2" t="str">
        <x:v>Same assumed deposit fraction. Closing costs and taxes on acquisition excluded.</x:v>
      </x:c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3" customHeight="1">
      <x:c r="A46" s="2" t="str">
        <x:v>Home loan years</x:v>
      </x:c>
      <x:c r="B46" s="10" t="n">
        <x:v>30</x:v>
      </x:c>
      <x:c r="C46" s="10" t="n">
        <x:v>30</x:v>
      </x:c>
      <x:c r="D46" s="2" t="str">
        <x:v>Term assumption, not an offer.</x:v>
      </x:c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3" customHeight="1">
      <x:c r="A47" s="2" t="str">
        <x:v>Home mortgage rate</x:v>
      </x:c>
      <x:c r="B47" s="11" t="n">
        <x:v>0.031</x:v>
      </x:c>
      <x:c r="C47" s="11" t="n">
        <x:v>0.0695</x:v>
      </x:c>
      <x:c r="D47" s="2" t="str">
        <x:v>CN 3.1% scenario near reported local range; US Freddie Mac 17 Sep 2026 national average.</x:v>
      </x:c>
      <x:c r="E47" s="2"/>
      <x:c r="F47" s="2"/>
      <x:c r="G47" s="2"/>
      <x:c r="H47" s="2"/>
      <x:c r="I47" s="2"/>
      <x:c r="J47" s="2"/>
      <x:c r="K47" s="2"/>
      <x:c r="L47" s="2"/>
      <x:c r="M47" s="2"/>
      <x:c r="N47" s="2" t="str">
        <x:v>https://m.fangchan.com/data/133/2026-08-26/7498204630359544379.html</x:v>
      </x:c>
      <x:c r="O47" s="2" t="str">
        <x:v>https://www.freddiemac.com/pmms</x:v>
      </x:c>
      <x:c r="P47" s="2"/>
      <x:c r="Q47" s="2"/>
    </x:row>
    <x:row r="48" ht="23" customHeight="1">
      <x:c r="A48" s="2" t="str">
        <x:v>Annual property-tax fraction</x:v>
      </x:c>
      <x:c r="B48" s="11" t="n">
        <x:v>0</x:v>
      </x:c>
      <x:c r="C48" s="11" t="n">
        <x:v>0.025</x:v>
      </x:c>
      <x:c r="D48" s="2" t="str">
        <x:v>CN personally owned nonbusiness-home scenario; US 2.5% assumption before property-specific exemptions.</x:v>
      </x:c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23" customHeight="1">
      <x:c r="A49" s="2" t="str">
        <x:v>Annual home insurance</x:v>
      </x:c>
      <x:c r="B49" s="10" t="n">
        <x:v>360</x:v>
      </x:c>
      <x:c r="C49" s="10" t="n">
        <x:v>3489</x:v>
      </x:c>
      <x:c r="D49" s="2" t="str">
        <x:v>CN allowance; US Texas 2025 preliminary statewide premium, not a property quote.</x:v>
      </x:c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 t="str">
        <x:v>https://www.tdi.texas.gov/general/texas-homeowners-insurance-market-overview.html</x:v>
      </x:c>
      <x:c r="P49" s="2"/>
      <x:c r="Q49" s="2"/>
    </x:row>
    <x:row r="50" ht="23" customHeight="1">
      <x:c r="A50" s="2" t="str">
        <x:v>Monthly property management / HOA</x:v>
      </x:c>
      <x:c r="B50" s="10" t="n">
        <x:v>166</x:v>
      </x:c>
      <x:c r="C50" s="10" t="n">
        <x:v>110</x:v>
      </x:c>
      <x:c r="D50" s="2" t="str">
        <x:v>CN listed development fee; US rounded suburban listing HOA.</x:v>
      </x:c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23" customHeight="1">
      <x:c r="A51" s="2" t="str">
        <x:v>Annual home repair reserve</x:v>
      </x:c>
      <x:c r="B51" s="10" t="n">
        <x:v>2400</x:v>
      </x:c>
      <x:c r="C51" s="10" t="n">
        <x:v>3300</x:v>
      </x:c>
      <x:c r="D51" s="2" t="str">
        <x:v>Assumptions: CN 200/month; US 1% of central330k home. Editable, not matched-lifetime evidence.</x:v>
      </x:c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23" customHeight="1">
      <x:c r="A52" s="2" t="str">
        <x:v>Basic TV alternate</x:v>
      </x:c>
      <x:c r="B52" s="10" t="n">
        <x:v>1799</x:v>
      </x:c>
      <x:c r="C52" s="10" t="n">
        <x:v>216.489175</x:v>
      </x:c>
      <x:c r="D52" s="2" t="str">
        <x:v>Entry case: 55-inch TCL domestic / US Insignia. Same brand not required.</x:v>
      </x:c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23" customHeight="1">
      <x:c r="A53" s="2" t="str">
        <x:v>Car residual fraction</x:v>
      </x:c>
      <x:c r="B53" s="11" t="n">
        <x:v>0.2</x:v>
      </x:c>
      <x:c r="C53" s="11" t="n">
        <x:v>0.2</x:v>
      </x:c>
      <x:c r="D53" s="2" t="str">
        <x:v>Assumed residual at end of ten-year provision. Other durables use zero residual.</x:v>
      </x:c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23" customHeight="1">
      <x:c r="A54" s="2" t="str">
        <x:v>Equity opportunity-cost rate</x:v>
      </x:c>
      <x:c r="B54" s="11" t="n">
        <x:v>0.04</x:v>
      </x:c>
      <x:c r="C54" s="11" t="n">
        <x:v>0.04</x:v>
      </x:c>
      <x:c r="D54" s="2" t="str">
        <x:v>Optional first-month owner-cost proxy: same4% on deposit. No assumed appreciation.</x:v>
      </x:c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23" customHeight="1">
      <x:c r="A55" s="2" t="str">
        <x:v>First-year US gym / month</x:v>
      </x:c>
      <x:c r="B55" s="10" t="n">
        <x:v>239</x:v>
      </x:c>
      <x:c r="C55" s="10" t="n">
        <x:v>23.27375</x:v>
      </x:c>
      <x:c r="D55" s="2" t="str">
        <x:v>Includes startup fee; base uses ongoing membership.</x:v>
      </x:c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 ht="23" customHeight="1">
      <x:c r="A58" s="2" t="str">
        <x:v>Method: multiples above1.00× mean the US costs more after FX; 1.00× is parity. No quality-adjustment dollars are invented.</x:v>
      </x:c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 ht="23" customHeight="1">
      <x:c r="A59" s="2" t="str">
        <x:v>All22 simple means describe the price catalogue, including alternative device tiers. They are not a household spending index.</x:v>
      </x:c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 ht="23" customHeight="1">
      <x:c r="A60" s="2" t="str">
        <x:v>Unit prices may be purchases, monthly bills or annual baskets. Only monthly build contributions are summed.</x:v>
      </x:c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 ht="23" customHeight="1">
      <x:c r="A61" s="2" t="str">
        <x:v>Sources: detailed model/date/stock qualifications are in the accompanying 22-category narrative and revised housing/TV memos.</x:v>
      </x:c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</x:row>
    <x:row r="86" ht="23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</x:row>
    <x:row r="87" ht="23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</x:row>
    <x:row r="90" ht="23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</x:row>
  </x:sheetData>
  <x:dataValidations count="2">
    <x:dataValidation type="list" sqref="B4">
      <x:formula1>"1,2,3,4"</x:formula1>
    </x:dataValidation>
    <x:dataValidation type="list" sqref="B5">
      <x:formula1>"1,2,3"</x:formula1>
    </x:dataValidation>
  </x:dataValidations>
  <x:pageMargins left="0.7" right="0.7" top="0.75" bottom="0.75" header="0.3" footer="0.3"/>
</x:worksheet>
</file>